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1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zillow.com/homedetails/0-Gordon-Rd-Medford-MA-02155/2100126227_zpid/" TargetMode="External" Id="rId1" /><Relationship Type="http://schemas.openxmlformats.org/officeDocument/2006/relationships/hyperlink" Target="https://www.zillow.com/community/20-whitney/456675877_zpid/" TargetMode="External" Id="rId2" /><Relationship Type="http://schemas.openxmlformats.org/officeDocument/2006/relationships/hyperlink" Target="https://www.zillow.com/homedetails/975-Washington-St-Newtonville-MA-02460/459474131_zpid/" TargetMode="External" Id="rId3" /><Relationship Type="http://schemas.openxmlformats.org/officeDocument/2006/relationships/hyperlink" Target="https://www.zillow.com/homedetails/133-Warren-St-APT-3-Watertown-MA-02472/56370749_zpid/" TargetMode="External" Id="rId4" /><Relationship Type="http://schemas.openxmlformats.org/officeDocument/2006/relationships/hyperlink" Target="https://www.zillow.com/homedetails/194-Lexington-St-APT-1-Watertown-MA-02472/56370715_zpid/" TargetMode="External" Id="rId5" /><Relationship Type="http://schemas.openxmlformats.org/officeDocument/2006/relationships/hyperlink" Target="https://www.zillow.com/homedetails/151-Tremont-St-U-508-Boston-MA-02111/431633767_zpid/" TargetMode="External" Id="rId6" /><Relationship Type="http://schemas.openxmlformats.org/officeDocument/2006/relationships/hyperlink" Target="https://www.zillow.com/homedetails/133-Commander-Shea-Blvd-APT-502-Quincy-MA-02171/56602111_zpid/" TargetMode="External" Id="rId7" /><Relationship Type="http://schemas.openxmlformats.org/officeDocument/2006/relationships/hyperlink" Target="https://www.zillow.com/homedetails/1025-Hancock-St-UNIT-2K-Quincy-MA-02169/66655529_zpid/" TargetMode="External" Id="rId8" /><Relationship Type="http://schemas.openxmlformats.org/officeDocument/2006/relationships/hyperlink" Target="https://www.zillow.com/homedetails/88-Gordon-St-APT-304-Brighton-MA-02135/59162680_zpid/" TargetMode="External" Id="rId9" /><Relationship Type="http://schemas.openxmlformats.org/officeDocument/2006/relationships/hyperlink" Target="https://www.zillow.com/homedetails/26-Chiswick-Rd-APT-6-Brighton-MA-02135/59094013_zpid/" TargetMode="External" Id="rId10" /><Relationship Type="http://schemas.openxmlformats.org/officeDocument/2006/relationships/hyperlink" Target="https://www.zillow.com/homedetails/10-Skyline-Dr-APT-5-Braintree-MA-02184/184109022_zpid/" TargetMode="External" Id="rId11" /><Relationship Type="http://schemas.openxmlformats.org/officeDocument/2006/relationships/hyperlink" Target="https://www.zillow.com/homedetails/66-Bryon-Rd-APT-2-Chestnut-Hill-MA-02467/2128070393_zpid/" TargetMode="External" Id="rId12" /><Relationship Type="http://schemas.openxmlformats.org/officeDocument/2006/relationships/hyperlink" Target="https://www.zillow.com/homedetails/60-Bryon-Rd-APT-1-Chestnut-Hill-MA-02467/2107598505_zpid/" TargetMode="External" Id="rId13" /><Relationship Type="http://schemas.openxmlformats.org/officeDocument/2006/relationships/hyperlink" Target="https://www.zillow.com/homedetails/38-Carey-Ave-APT-3-Watertown-MA-02472/56370676_zpid/" TargetMode="External" Id="rId14" /><Relationship Type="http://schemas.openxmlformats.org/officeDocument/2006/relationships/hyperlink" Target="https://www.zillow.com/homedetails/1641-Commonwealth-Ave-APT-16-Brighton-MA-02135/59089337_zpid/" TargetMode="External" Id="rId15" /><Relationship Type="http://schemas.openxmlformats.org/officeDocument/2006/relationships/hyperlink" Target="https://www.zillow.com/homedetails/354-Market-St-APT-9-Brighton-MA-02135/59093859_zpid/" TargetMode="External" Id="rId16" /><Relationship Type="http://schemas.openxmlformats.org/officeDocument/2006/relationships/hyperlink" Target="https://www.zillow.com/homedetails/5-Braemore-Rd-APT-10-Brighton-MA-02135/59213457_zpid/" TargetMode="External" Id="rId17" /><Relationship Type="http://schemas.openxmlformats.org/officeDocument/2006/relationships/hyperlink" Target="https://www.zillow.com/homedetails/32-Almont-St-1-Medford-MA-02155/71661241_zpid/" TargetMode="External" Id="rId18" /><Relationship Type="http://schemas.openxmlformats.org/officeDocument/2006/relationships/hyperlink" Target="https://www.zillow.com/homedetails/212-Quincy-Shore-Dr-A-Quincy-MA-02171/458571840_zpid/" TargetMode="External" Id="rId19" /><Relationship Type="http://schemas.openxmlformats.org/officeDocument/2006/relationships/hyperlink" Target="https://www.zillow.com/homedetails/200-Falls-Blvd-UNIT-B305-Quincy-MA-02169/56590577_zpid/" TargetMode="External" Id="rId20" /><Relationship Type="http://schemas.openxmlformats.org/officeDocument/2006/relationships/hyperlink" Target="https://www.zillow.com/homedetails/16-Winter-St-APT-26C-Waltham-MA-02451/56360152_zpid/" TargetMode="External" Id="rId21" /><Relationship Type="http://schemas.openxmlformats.org/officeDocument/2006/relationships/hyperlink" Target="https://www.zillow.com/homedetails/164-Galen-St-APT-65-Watertown-MA-02472/56367887_zpid/" TargetMode="External" Id="rId22" /><Relationship Type="http://schemas.openxmlformats.org/officeDocument/2006/relationships/hyperlink" Target="https://www.zillow.com/homedetails/45-Gordon-St-APT-4-Allston-MA-02134/59088776_zpid/" TargetMode="External" Id="rId23" /><Relationship Type="http://schemas.openxmlformats.org/officeDocument/2006/relationships/hyperlink" Target="https://www.zillow.com/homedetails/59-Brighton-Ave-APT-A-Allston-MA-02134/59087457_zpid/" TargetMode="External" Id="rId24" /><Relationship Type="http://schemas.openxmlformats.org/officeDocument/2006/relationships/hyperlink" Target="https://www.zillow.com/homedetails/195-Thomas-Burgin-Pkwy-UNIT-212-Quincy-MA-02169/56587202_zpid/" TargetMode="External" Id="rId25" /><Relationship Type="http://schemas.openxmlformats.org/officeDocument/2006/relationships/hyperlink" Target="https://www.zillow.com/homedetails/14-16-Cottage-Pl-West-Newton-MA-02465/2062072214_zpid/" TargetMode="External" Id="rId26" /><Relationship Type="http://schemas.openxmlformats.org/officeDocument/2006/relationships/hyperlink" Target="https://www.zillow.com/homedetails/10-Hammond-Pond-Pkwy-APT-606-Newton-MA-02467/56321646_zpid/" TargetMode="External" Id="rId27" /><Relationship Type="http://schemas.openxmlformats.org/officeDocument/2006/relationships/hyperlink" Target="https://www.zillow.com/homedetails/1151-Walnut-St-207-Newton-Highlands-MA-02461/457256057_zpid/" TargetMode="External" Id="rId28" /><Relationship Type="http://schemas.openxmlformats.org/officeDocument/2006/relationships/hyperlink" Target="https://www.zillow.com/homedetails/1151-Walnut-St-304-Newton-Highlands-MA-02461/459913262_zpid/" TargetMode="External" Id="rId29" /><Relationship Type="http://schemas.openxmlformats.org/officeDocument/2006/relationships/hyperlink" Target="https://www.zillow.com/homedetails/88-Gordon-St-APT-305-Brighton-MA-02135/59091169_zpid/" TargetMode="External" Id="rId30" /><Relationship Type="http://schemas.openxmlformats.org/officeDocument/2006/relationships/hyperlink" Target="https://www.zillow.com/homedetails/198-Allston-St-3-Allston-MA-02134/440796556_zpid/" TargetMode="External" Id="rId31" /><Relationship Type="http://schemas.openxmlformats.org/officeDocument/2006/relationships/hyperlink" Target="https://www.zillow.com/homedetails/15-Commonwealth-Ct-APT-10-Brighton-MA-02135/59091656_zpid/" TargetMode="External" Id="rId32" /><Relationship Type="http://schemas.openxmlformats.org/officeDocument/2006/relationships/hyperlink" Target="https://www.zillow.com/homedetails/1564-Commonwealth-Ave-APT-3-Brighton-MA-02135/59092148_zpid/" TargetMode="External" Id="rId33" /><Relationship Type="http://schemas.openxmlformats.org/officeDocument/2006/relationships/hyperlink" Target="https://www.zillow.com/homedetails/77-Pond-Ave-APT-1103-Brookline-MA-02445/56571183_zpid/" TargetMode="External" Id="rId34" /><Relationship Type="http://schemas.openxmlformats.org/officeDocument/2006/relationships/hyperlink" Target="https://www.zillow.com/homedetails/217-221-Highland-Ave-UNIT-1-Malden-MA-02148/459672098_zpid/" TargetMode="External" Id="rId35" /><Relationship Type="http://schemas.openxmlformats.org/officeDocument/2006/relationships/hyperlink" Target="https://www.zillow.com/homedetails/24-South-St-APT-38-Medford-MA-02155/56281218_zpid/" TargetMode="External" Id="rId36" /><Relationship Type="http://schemas.openxmlformats.org/officeDocument/2006/relationships/hyperlink" Target="https://www.zillow.com/homedetails/80-Main-St-APT-4-Malden-MA-02148/56268453_zpid/" TargetMode="External" Id="rId37" /><Relationship Type="http://schemas.openxmlformats.org/officeDocument/2006/relationships/hyperlink" Target="https://www.zillow.com/homedetails/80-Main-St-APT-9-Malden-MA-02148/56268458_zpid/" TargetMode="External" Id="rId38" /><Relationship Type="http://schemas.openxmlformats.org/officeDocument/2006/relationships/hyperlink" Target="https://www.zillow.com/homedetails/100-Washington-St-APT-3-Brighton-MA-02135/59092287_zpid/" TargetMode="External" Id="rId39" /><Relationship Type="http://schemas.openxmlformats.org/officeDocument/2006/relationships/hyperlink" Target="https://www.zillow.com/homedetails/17-Buckingham-St-3-Somerville-MA-02143/2106999481_zpid/" TargetMode="External" Id="rId40" /><Relationship Type="http://schemas.openxmlformats.org/officeDocument/2006/relationships/hyperlink" Target="https://www.zillow.com/homedetails/20-Whitney-U-1-Quincy-MA-02169/460043102_zpid/" TargetMode="External" Id="rId41" /><Relationship Type="http://schemas.openxmlformats.org/officeDocument/2006/relationships/hyperlink" Target="https://www.zillow.com/homedetails/21-Totman-St-SUITE-203-Quincy-MA-02169/458714573_zpid/" TargetMode="External" Id="rId42" /><Relationship Type="http://schemas.openxmlformats.org/officeDocument/2006/relationships/hyperlink" Target="https://www.zillow.com/homedetails/1691-Commonwealth-Ave-APT-31-Brighton-MA-02135/59092827_zpid/" TargetMode="External" Id="rId43" /><Relationship Type="http://schemas.openxmlformats.org/officeDocument/2006/relationships/hyperlink" Target="https://www.zillow.com/homedetails/5-Waldo-Ave-APT-2A-Somerville-MA-02143/71142493_zpid/" TargetMode="External" Id="rId44" /><Relationship Type="http://schemas.openxmlformats.org/officeDocument/2006/relationships/hyperlink" Target="https://www.zillow.com/homedetails/6-Goodwin-Pl-APT-B-Boston-MA-02114/59166441_zpid/" TargetMode="External" Id="rId45" /><Relationship Type="http://schemas.openxmlformats.org/officeDocument/2006/relationships/hyperlink" Target="https://www.zillow.com/homedetails/144-Newton-St-APT-1-Brighton-MA-02135/71505041_zpid/" TargetMode="External" Id="rId46" /><Relationship Type="http://schemas.openxmlformats.org/officeDocument/2006/relationships/hyperlink" Target="https://www.zillow.com/homedetails/20-Whitney-Rd-101-Quincy-MA-02169/455786544_zpid/" TargetMode="External" Id="rId47" /><Relationship Type="http://schemas.openxmlformats.org/officeDocument/2006/relationships/hyperlink" Target="https://www.zillow.com/homedetails/10-Naviens-Ln-1-Waltham-MA-02453/56366974_zpid/" TargetMode="External" Id="rId48" /><Relationship Type="http://schemas.openxmlformats.org/officeDocument/2006/relationships/hyperlink" Target="https://www.zillow.com/homedetails/7-Cypress-Rd-APT-703-Brighton-MA-02135/59091947_zpid/" TargetMode="External" Id="rId49" /><Relationship Type="http://schemas.openxmlformats.org/officeDocument/2006/relationships/hyperlink" Target="https://www.zillow.com/homedetails/367-Somerville-Ave-APT-G-Somerville-MA-02143/60111757_zpid/" TargetMode="External" Id="rId50" /><Relationship Type="http://schemas.openxmlformats.org/officeDocument/2006/relationships/hyperlink" Target="https://www.zillow.com/homedetails/21-Beacon-St-APT-6D-Boston-MA-02108/59180776_zpid/" TargetMode="External" Id="rId51" /><Relationship Type="http://schemas.openxmlformats.org/officeDocument/2006/relationships/hyperlink" Target="https://www.zillow.com/homedetails/21-Beacon-St-APT-3K-Boston-MA-02108/59180727_zpid/" TargetMode="External" Id="rId52" /><Relationship Type="http://schemas.openxmlformats.org/officeDocument/2006/relationships/hyperlink" Target="https://www.zillow.com/homedetails/231-Coolidge-Ave-APT-405-Watertown-MA-02472/56375483_zpid/" TargetMode="External" Id="rId53" /><Relationship Type="http://schemas.openxmlformats.org/officeDocument/2006/relationships/hyperlink" Target="https://www.zillow.com/homedetails/50-Water-St-APT-24-Medford-MA-02155/56278371_zpid/" TargetMode="External" Id="rId54" /><Relationship Type="http://schemas.openxmlformats.org/officeDocument/2006/relationships/hyperlink" Target="https://www.zillow.com/homedetails/21-Totman-St-404-Quincy-MA-02169/459618632_zpid/" TargetMode="External" Id="rId55" /><Relationship Type="http://schemas.openxmlformats.org/officeDocument/2006/relationships/hyperlink" Target="https://www.zillow.com/homedetails/0-Franklin-St-Milton-MA-02186/441747147_zpid/" TargetMode="External" Id="rId56" /><Relationship Type="http://schemas.openxmlformats.org/officeDocument/2006/relationships/hyperlink" Target="https://www.zillow.com/community/20-whitney/456675884_zpid/" TargetMode="External" Id="rId57" /><Relationship Type="http://schemas.openxmlformats.org/officeDocument/2006/relationships/hyperlink" Target="https://www.zillow.com/homedetails/31-Warren-St-APT-B-1-Waltham-MA-02453/56365634_zpid/" TargetMode="External" Id="rId58" /><Relationship Type="http://schemas.openxmlformats.org/officeDocument/2006/relationships/hyperlink" Target="https://www.zillow.com/homedetails/461-Washington-St-APT-301-Brighton-MA-02135/59095771_zpid/" TargetMode="External" Id="rId59" /><Relationship Type="http://schemas.openxmlformats.org/officeDocument/2006/relationships/hyperlink" Target="https://www.zillow.com/homedetails/147-Langdon-Ave-1-Watertown-MA-02472/2110639068_zpid/" TargetMode="External" Id="rId60" /><Relationship Type="http://schemas.openxmlformats.org/officeDocument/2006/relationships/hyperlink" Target="https://www.zillow.com/homedetails/764-Cambridge-St-APT-6-Cambridge-MA-02141/67080024_zpid/" TargetMode="External" Id="rId61" /><Relationship Type="http://schemas.openxmlformats.org/officeDocument/2006/relationships/hyperlink" Target="https://www.zillow.com/homedetails/33-Irving-St-APT-4-Boston-MA-02114/59174199_zpid/" TargetMode="External" Id="rId62" /><Relationship Type="http://schemas.openxmlformats.org/officeDocument/2006/relationships/hyperlink" Target="https://www.zillow.com/homedetails/8-9th-St-APT-513-Medford-MA-02155/56284573_zpid/" TargetMode="External" Id="rId63" /><Relationship Type="http://schemas.openxmlformats.org/officeDocument/2006/relationships/hyperlink" Target="https://www.zillow.com/homedetails/9-Henry-St-9-Belmont-MA-02478/2069694645_zpid/" TargetMode="External" Id="rId64" /><Relationship Type="http://schemas.openxmlformats.org/officeDocument/2006/relationships/hyperlink" Target="https://www.zillow.com/homedetails/155-Kendrick-Ave-APT-502-Quincy-MA-02169/56591171_zpid/" TargetMode="External" Id="rId65" /><Relationship Type="http://schemas.openxmlformats.org/officeDocument/2006/relationships/hyperlink" Target="https://www.zillow.com/homedetails/872-Massachusetts-Ave-APT-303-Cambridge-MA-02139/2106605883_zpid/" TargetMode="External" Id="rId66" /><Relationship Type="http://schemas.openxmlformats.org/officeDocument/2006/relationships/hyperlink" Target="https://www.zillow.com/homedetails/87-Franklin-St-UNIT-105-Quincy-MA-02169/70884919_zpid/" TargetMode="External" Id="rId67" /><Relationship Type="http://schemas.openxmlformats.org/officeDocument/2006/relationships/hyperlink" Target="https://www.zillow.com/homedetails/1945-Commonwealth-Ave-APT-4-Brighton-MA-02135/59168559_zpid/" TargetMode="External" Id="rId68" /><Relationship Type="http://schemas.openxmlformats.org/officeDocument/2006/relationships/hyperlink" Target="https://www.zillow.com/homedetails/31-Aldrich-Rd-1-Watertown-MA-02472/66817446_zpid/" TargetMode="External" Id="rId69" /><Relationship Type="http://schemas.openxmlformats.org/officeDocument/2006/relationships/hyperlink" Target="https://www.zillow.com/homedetails/239-Kelton-St-APT-41-Allston-MA-02134/59088967_zpid/" TargetMode="External" Id="rId70" /><Relationship Type="http://schemas.openxmlformats.org/officeDocument/2006/relationships/hyperlink" Target="https://www.zillow.com/homedetails/10-Scottfield-Rd-APT-2-Allston-MA-02134/59088845_zpid/" TargetMode="External" Id="rId71" /><Relationship Type="http://schemas.openxmlformats.org/officeDocument/2006/relationships/hyperlink" Target="https://www.zillow.com/homedetails/74-Gilman-St-APT-1-Somerville-MA-02145/56537708_zpid/" TargetMode="External" Id="rId72" /><Relationship Type="http://schemas.openxmlformats.org/officeDocument/2006/relationships/hyperlink" Target="https://www.zillow.com/homedetails/501-Beacon-St-APT-1-Boston-MA-02215/59178524_zpid/" TargetMode="External" Id="rId73" /><Relationship Type="http://schemas.openxmlformats.org/officeDocument/2006/relationships/hyperlink" Target="https://www.zillow.com/homedetails/6-Washington-Ave-APT-11-Cambridge-MA-02140/56438004_zpid/" TargetMode="External" Id="rId74" /><Relationship Type="http://schemas.openxmlformats.org/officeDocument/2006/relationships/hyperlink" Target="https://www.zillow.com/homedetails/995-Massachusetts-Ave-APT-404-Arlington-MA-02476/56396638_zpid/" TargetMode="External" Id="rId75" /><Relationship Type="http://schemas.openxmlformats.org/officeDocument/2006/relationships/hyperlink" Target="https://www.zillow.com/homedetails/290-Pleasant-St-APT-113-Watertown-MA-02472/80392270_zpid/" TargetMode="External" Id="rId76" /><Relationship Type="http://schemas.openxmlformats.org/officeDocument/2006/relationships/hyperlink" Target="https://www.zillow.com/homedetails/35-Homer-Ave-APT-7-Cambridge-MA-02138/2145288738_zpid/" TargetMode="External" Id="rId77" /><Relationship Type="http://schemas.openxmlformats.org/officeDocument/2006/relationships/hyperlink" Target="https://www.zillow.com/homedetails/60-Sutherland-Rd-APT-4-Brighton-MA-02135/59093941_zpid/" TargetMode="External" Id="rId78" /><Relationship Type="http://schemas.openxmlformats.org/officeDocument/2006/relationships/hyperlink" Target="https://www.zillow.com/homedetails/7-Lothian-Rd-B-Boston-MA-02135/59093757_zpid/" TargetMode="External" Id="rId79" /><Relationship Type="http://schemas.openxmlformats.org/officeDocument/2006/relationships/hyperlink" Target="https://www.zillow.com/homedetails/15-Colliston-Rd-APT-6-Brighton-MA-02135/59089643_zpid/" TargetMode="External" Id="rId80" /><Relationship Type="http://schemas.openxmlformats.org/officeDocument/2006/relationships/hyperlink" Target="https://www.zillow.com/homedetails/100-Lanark-Rd-APT-8-Brighton-MA-02135/59093221_zpid/" TargetMode="External" Id="rId81" /><Relationship Type="http://schemas.openxmlformats.org/officeDocument/2006/relationships/hyperlink" Target="https://www.zillow.com/homedetails/4-Franklin-St-202-Allston-MA-02134/348499954_zpid/" TargetMode="External" Id="rId82" /><Relationship Type="http://schemas.openxmlformats.org/officeDocument/2006/relationships/hyperlink" Target="https://www.zillow.com/homedetails/11-Cogswell-Ave-APT-15-Cambridge-MA-02140/56437178_zpid/" TargetMode="External" Id="rId83" /><Relationship Type="http://schemas.openxmlformats.org/officeDocument/2006/relationships/hyperlink" Target="https://www.zillow.com/homedetails/5-Cooney-St-3-Somerville-MA-02143/120576672_zpid/" TargetMode="External" Id="rId84" /><Relationship Type="http://schemas.openxmlformats.org/officeDocument/2006/relationships/hyperlink" Target="https://www.zillow.com/homedetails/40-Chappie-St-1-Charlestown-MA-02129/71329755_zpid/" TargetMode="External" Id="rId85" /><Relationship Type="http://schemas.openxmlformats.org/officeDocument/2006/relationships/hyperlink" Target="https://www.zillow.com/homedetails/390-Riverway-APT-24-Boston-MA-02115/59171376_zpid/" TargetMode="External" Id="rId86" /><Relationship Type="http://schemas.openxmlformats.org/officeDocument/2006/relationships/hyperlink" Target="https://www.zillow.com/homedetails/120-Wyllis-Ave-UNIT-401-Everett-MA-02149/87868278_zpid/" TargetMode="External" Id="rId87" /><Relationship Type="http://schemas.openxmlformats.org/officeDocument/2006/relationships/hyperlink" Target="https://www.zillow.com/homedetails/50-56-Leo-M-Birmingham-Pkwy-303-Boston-MA-02135/2068433731_zpid/" TargetMode="External" Id="rId88" /><Relationship Type="http://schemas.openxmlformats.org/officeDocument/2006/relationships/hyperlink" Target="https://www.zillow.com/homedetails/39-Commonwealth-Ave-APT-31-Newton-MA-02467/56316564_zpid/" TargetMode="External" Id="rId89" /><Relationship Type="http://schemas.openxmlformats.org/officeDocument/2006/relationships/hyperlink" Target="https://www.zillow.com/homedetails/99-Tremont-St-105-Boston-MA-02135/2090070412_zpid/" TargetMode="External" Id="rId90" /><Relationship Type="http://schemas.openxmlformats.org/officeDocument/2006/relationships/hyperlink" Target="https://www.zillow.com/homedetails/56-Commonwealth-Ave-APT-53-Boston-MA-02116/59176404_zpid/" TargetMode="External" Id="rId91" /><Relationship Type="http://schemas.openxmlformats.org/officeDocument/2006/relationships/hyperlink" Target="https://www.zillow.com/homedetails/483-Beacon-St-APT-37-Boston-MA-02115/59169165_zpid/" TargetMode="External" Id="rId92" /><Relationship Type="http://schemas.openxmlformats.org/officeDocument/2006/relationships/hyperlink" Target="https://www.zillow.com/homedetails/148-Berkshire-St-APT-4-Cambridge-MA-02141/458474348_zpid/" TargetMode="External" Id="rId93" /><Relationship Type="http://schemas.openxmlformats.org/officeDocument/2006/relationships/hyperlink" Target="https://www.zillow.com/homedetails/65-Strathmore-Rd-APT-49-Brighton-MA-02135/59093618_zpid/" TargetMode="External" Id="rId94" /><Relationship Type="http://schemas.openxmlformats.org/officeDocument/2006/relationships/hyperlink" Target="https://www.zillow.com/homedetails/138-Quincy-Shore-Dr-UNIT-170-Quincy-MA-02171/56601722_zpid/" TargetMode="External" Id="rId95" /><Relationship Type="http://schemas.openxmlformats.org/officeDocument/2006/relationships/hyperlink" Target="https://www.zillow.com/homedetails/7-Hereford-St-APT-8-Boston-MA-02115/59169276_zpid/" TargetMode="External" Id="rId96" /><Relationship Type="http://schemas.openxmlformats.org/officeDocument/2006/relationships/hyperlink" Target="https://www.zillow.com/homedetails/364-Marlborough-St-APT-8-Boston-MA-02115/59167303_zpid/" TargetMode="External" Id="rId97" /><Relationship Type="http://schemas.openxmlformats.org/officeDocument/2006/relationships/hyperlink" Target="https://www.zillow.com/homedetails/863-Massachusetts-Ave-APT-25-Cambridge-MA-02139/56431258_zpid/" TargetMode="External" Id="rId9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Interest Rate</t>
        </is>
      </c>
      <c r="B2" s="2" t="n">
        <v>0.065</v>
      </c>
    </row>
    <row r="3">
      <c r="A3" t="inlineStr">
        <is>
          <t>Down Payment %</t>
        </is>
      </c>
      <c r="B3" s="3" t="n">
        <v>0.2</v>
      </c>
    </row>
    <row r="4">
      <c r="A4" t="inlineStr">
        <is>
          <t>Loan Term Years</t>
        </is>
      </c>
      <c r="B4" s="4" t="n">
        <v>30</v>
      </c>
    </row>
    <row r="5">
      <c r="A5" t="inlineStr">
        <is>
          <t>Property Tax Rate</t>
        </is>
      </c>
      <c r="B5" s="2" t="n">
        <v>0.012</v>
      </c>
    </row>
    <row r="6">
      <c r="A6" t="inlineStr">
        <is>
          <t>Insurance $/mo</t>
        </is>
      </c>
      <c r="B6" s="5" t="n">
        <v>150</v>
      </c>
    </row>
    <row r="7">
      <c r="A7" t="inlineStr">
        <is>
          <t>Utilities $/mo</t>
        </is>
      </c>
      <c r="B7" s="5" t="n">
        <v>250</v>
      </c>
    </row>
    <row r="8">
      <c r="A8" t="inlineStr">
        <is>
          <t>Internet $/mo</t>
        </is>
      </c>
      <c r="B8" s="5" t="n">
        <v>60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W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50" customWidth="1" min="3" max="3"/>
    <col width="10" customWidth="1" min="4" max="4"/>
    <col width="10" customWidth="1" min="5" max="5"/>
    <col width="14" customWidth="1" min="6" max="6"/>
    <col width="9" customWidth="1" min="7" max="7"/>
    <col width="19" customWidth="1" min="8" max="8"/>
    <col width="50" customWidth="1" min="9" max="9"/>
    <col width="23" customWidth="1" min="10" max="10"/>
    <col width="15" customWidth="1" min="11" max="11"/>
    <col width="50" customWidth="1" min="12" max="12"/>
    <col width="26" customWidth="1" min="13" max="13"/>
    <col width="19" customWidth="1" min="14" max="14"/>
    <col width="34" customWidth="1" min="15" max="15"/>
    <col width="24" customWidth="1" min="16" max="16"/>
    <col width="32" customWidth="1" min="17" max="17"/>
    <col width="20" customWidth="1" min="18" max="18"/>
    <col width="23" customWidth="1" min="19" max="19"/>
    <col width="26" customWidth="1" min="20" max="20"/>
    <col width="25" customWidth="1" min="21" max="21"/>
    <col width="16" customWidth="1" min="22" max="22"/>
    <col width="10" customWidth="1" min="23" max="23"/>
  </cols>
  <sheetData>
    <row r="1">
      <c r="A1" s="1" t="inlineStr">
        <is>
          <t>Address</t>
        </is>
      </c>
      <c r="B1" s="1" t="inlineStr">
        <is>
          <t>Town</t>
        </is>
      </c>
      <c r="C1" s="1" t="inlineStr">
        <is>
          <t>Zillow URL</t>
        </is>
      </c>
      <c r="D1" s="1" t="inlineStr">
        <is>
          <t>Price</t>
        </is>
      </c>
      <c r="E1" s="1" t="inlineStr">
        <is>
          <t>HOA/mo</t>
        </is>
      </c>
      <c r="F1" s="1" t="inlineStr">
        <is>
          <t>Beds/Baths</t>
        </is>
      </c>
      <c r="G1" s="1" t="inlineStr">
        <is>
          <t>Sq Ft</t>
        </is>
      </c>
      <c r="H1" s="1" t="inlineStr">
        <is>
          <t>In-Unit Laundry</t>
        </is>
      </c>
      <c r="I1" s="1" t="inlineStr">
        <is>
          <t>Parking</t>
        </is>
      </c>
      <c r="J1" s="1" t="inlineStr">
        <is>
          <t>Down Payment $</t>
        </is>
      </c>
      <c r="K1" s="1" t="inlineStr">
        <is>
          <t>Loan Amount</t>
        </is>
      </c>
      <c r="L1" s="1" t="inlineStr">
        <is>
          <t>Monthly Mortgage</t>
        </is>
      </c>
      <c r="M1" s="1" t="inlineStr">
        <is>
          <t>Property Tax/mo</t>
        </is>
      </c>
      <c r="N1" s="1" t="inlineStr">
        <is>
          <t>Insurance/mo</t>
        </is>
      </c>
      <c r="O1" s="1" t="inlineStr">
        <is>
          <t>Utilities+Internet</t>
        </is>
      </c>
      <c r="P1" s="1" t="inlineStr">
        <is>
          <t>Total Monthly Cost</t>
        </is>
      </c>
      <c r="Q1" s="1" t="inlineStr">
        <is>
          <t>Area Rental Price (Roommate)</t>
        </is>
      </c>
      <c r="R1" s="1" t="inlineStr">
        <is>
          <t>Net Monthly Cost</t>
        </is>
      </c>
      <c r="S1" s="1" t="inlineStr">
        <is>
          <t>Drive to MBTA (min)</t>
        </is>
      </c>
      <c r="T1" s="1" t="inlineStr">
        <is>
          <t>Drive to Seaport (min)</t>
        </is>
      </c>
      <c r="U1" s="1" t="inlineStr">
        <is>
          <t>Drive to Google (min)</t>
        </is>
      </c>
      <c r="V1" s="1" t="inlineStr">
        <is>
          <t>Rating Score</t>
        </is>
      </c>
      <c r="W1" s="1" t="inlineStr">
        <is>
          <t>Rating</t>
        </is>
      </c>
    </row>
    <row r="2">
      <c r="A2" s="6" t="inlineStr">
        <is>
          <t>0 Gordon Rd, Medford, MA 02155</t>
        </is>
      </c>
      <c r="B2" t="inlineStr">
        <is>
          <t>Medford</t>
        </is>
      </c>
      <c r="C2" s="7" t="inlineStr">
        <is>
          <t>https://www.zillow.com/homedetails/0-Gordon-Rd-Medford-MA-02155/2100126227_zpid/</t>
        </is>
      </c>
      <c r="D2" s="5" t="n">
        <v>369000</v>
      </c>
      <c r="E2" s="5" t="n">
        <v>0</v>
      </c>
      <c r="F2" t="inlineStr">
        <is>
          <t>?bd/?ba</t>
        </is>
      </c>
      <c r="G2" s="4" t="n">
        <v>9732</v>
      </c>
      <c r="H2" t="inlineStr">
        <is>
          <t>No</t>
        </is>
      </c>
      <c r="I2" t="inlineStr">
        <is>
          <t>None listed</t>
        </is>
      </c>
      <c r="J2" s="5">
        <f>D2*Assumptions!B3</f>
        <v/>
      </c>
      <c r="K2" s="5">
        <f>D2-J2</f>
        <v/>
      </c>
      <c r="L2" s="5">
        <f>-PMT(Assumptions!B2/12,Assumptions!B4*12,K2)</f>
        <v/>
      </c>
      <c r="M2" s="5">
        <f>D2*Assumptions!B5/12</f>
        <v/>
      </c>
      <c r="N2" s="5">
        <f>Assumptions!B6</f>
        <v/>
      </c>
      <c r="O2" s="5">
        <f>Assumptions!B7+Assumptions!B8</f>
        <v/>
      </c>
      <c r="P2" s="5">
        <f>L2+E2+M2+N2+O2</f>
        <v/>
      </c>
      <c r="Q2" s="5" t="n">
        <v>1790</v>
      </c>
      <c r="R2" s="5">
        <f>P2-Q2</f>
        <v/>
      </c>
      <c r="S2" t="n">
        <v>5</v>
      </c>
      <c r="T2" t="n">
        <v>12.3</v>
      </c>
      <c r="U2" t="n">
        <v>12.6</v>
      </c>
      <c r="V2" s="8" t="n">
        <v>2.8</v>
      </c>
      <c r="W2" t="inlineStr">
        <is>
          <t>Green</t>
        </is>
      </c>
    </row>
    <row r="3">
      <c r="A3" s="6" t="inlineStr">
        <is>
          <t>1-Bedroom Plan, 20 Whitney</t>
        </is>
      </c>
      <c r="B3" t="inlineStr">
        <is>
          <t>Quincy</t>
        </is>
      </c>
      <c r="C3" s="7" t="inlineStr">
        <is>
          <t>https://www.zillow.com/community/20-whitney/456675877_zpid/</t>
        </is>
      </c>
      <c r="D3" s="5" t="n">
        <v>399000</v>
      </c>
      <c r="E3" s="5" t="n">
        <v>0</v>
      </c>
      <c r="F3" t="inlineStr">
        <is>
          <t>1bd/1.0ba</t>
        </is>
      </c>
      <c r="G3" s="4" t="n">
        <v>500</v>
      </c>
      <c r="H3" t="inlineStr">
        <is>
          <t>No</t>
        </is>
      </c>
      <c r="I3" t="inlineStr">
        <is>
          <t>Off Street</t>
        </is>
      </c>
      <c r="J3" s="5">
        <f>D3*Assumptions!B3</f>
        <v/>
      </c>
      <c r="K3" s="5">
        <f>D3-J3</f>
        <v/>
      </c>
      <c r="L3" s="5">
        <f>-PMT(Assumptions!B2/12,Assumptions!B4*12,K3)</f>
        <v/>
      </c>
      <c r="M3" s="5">
        <f>D3*Assumptions!B5/12</f>
        <v/>
      </c>
      <c r="N3" s="5">
        <f>Assumptions!B6</f>
        <v/>
      </c>
      <c r="O3" s="5">
        <f>Assumptions!B7+Assumptions!B8</f>
        <v/>
      </c>
      <c r="P3" s="5">
        <f>L3+E3+M3+N3+O3</f>
        <v/>
      </c>
      <c r="Q3" s="5" t="n">
        <v>1315</v>
      </c>
      <c r="R3" s="5">
        <f>P3-Q3</f>
        <v/>
      </c>
      <c r="V3" s="8" t="n">
        <v>2.45</v>
      </c>
      <c r="W3" t="inlineStr">
        <is>
          <t>Green</t>
        </is>
      </c>
    </row>
    <row r="4">
      <c r="A4" s="6" t="inlineStr">
        <is>
          <t>975 Washington St, Newtonville, MA 02460</t>
        </is>
      </c>
      <c r="B4" t="inlineStr">
        <is>
          <t>Newton</t>
        </is>
      </c>
      <c r="C4" s="7" t="inlineStr">
        <is>
          <t>https://www.zillow.com/homedetails/975-Washington-St-Newtonville-MA-02460/459474131_zpid/</t>
        </is>
      </c>
      <c r="D4" s="5" t="n">
        <v>1</v>
      </c>
      <c r="E4" s="5" t="n">
        <v>0</v>
      </c>
      <c r="F4" t="inlineStr">
        <is>
          <t>?bd/?ba</t>
        </is>
      </c>
      <c r="G4" s="4" t="n">
        <v>34210</v>
      </c>
      <c r="H4" t="inlineStr">
        <is>
          <t>No</t>
        </is>
      </c>
      <c r="I4" t="inlineStr">
        <is>
          <t>None listed</t>
        </is>
      </c>
      <c r="J4" s="5">
        <f>D4*Assumptions!B3</f>
        <v/>
      </c>
      <c r="K4" s="5">
        <f>D4-J4</f>
        <v/>
      </c>
      <c r="L4" s="5">
        <f>-PMT(Assumptions!B2/12,Assumptions!B4*12,K4)</f>
        <v/>
      </c>
      <c r="M4" s="5">
        <f>D4*Assumptions!B5/12</f>
        <v/>
      </c>
      <c r="N4" s="5">
        <f>Assumptions!B6</f>
        <v/>
      </c>
      <c r="O4" s="5">
        <f>Assumptions!B7+Assumptions!B8</f>
        <v/>
      </c>
      <c r="P4" s="5">
        <f>L4+E4+M4+N4+O4</f>
        <v/>
      </c>
      <c r="Q4" s="5" t="n">
        <v>2200</v>
      </c>
      <c r="R4" s="5">
        <f>P4-Q4</f>
        <v/>
      </c>
      <c r="S4" t="n">
        <v>5.8</v>
      </c>
      <c r="T4" t="n">
        <v>16.2</v>
      </c>
      <c r="U4" t="n">
        <v>16.7</v>
      </c>
      <c r="V4" s="8" t="n">
        <v>2.45</v>
      </c>
      <c r="W4" t="inlineStr">
        <is>
          <t>Green</t>
        </is>
      </c>
    </row>
    <row r="5">
      <c r="A5" s="6" t="inlineStr">
        <is>
          <t>133 Warren St APT 3, Watertown, MA 02472</t>
        </is>
      </c>
      <c r="B5" t="inlineStr">
        <is>
          <t>Watertown</t>
        </is>
      </c>
      <c r="C5" s="7" t="inlineStr">
        <is>
          <t>https://www.zillow.com/homedetails/133-Warren-St-APT-3-Watertown-MA-02472/56370749_zpid/</t>
        </is>
      </c>
      <c r="D5" s="5" t="n">
        <v>375000</v>
      </c>
      <c r="E5" s="5" t="n">
        <v>350</v>
      </c>
      <c r="F5" t="inlineStr">
        <is>
          <t>2bd/1.0ba</t>
        </is>
      </c>
      <c r="G5" s="4" t="n">
        <v>600</v>
      </c>
      <c r="H5" t="inlineStr">
        <is>
          <t>No</t>
        </is>
      </c>
      <c r="I5" t="inlineStr">
        <is>
          <t>Off Street, Assigned, Deeded</t>
        </is>
      </c>
      <c r="J5" s="5">
        <f>D5*Assumptions!B3</f>
        <v/>
      </c>
      <c r="K5" s="5">
        <f>D5-J5</f>
        <v/>
      </c>
      <c r="L5" s="5">
        <f>-PMT(Assumptions!B2/12,Assumptions!B4*12,K5)</f>
        <v/>
      </c>
      <c r="M5" s="5">
        <f>D5*Assumptions!B5/12</f>
        <v/>
      </c>
      <c r="N5" s="5">
        <f>Assumptions!B6</f>
        <v/>
      </c>
      <c r="O5" s="5">
        <f>Assumptions!B7+Assumptions!B8</f>
        <v/>
      </c>
      <c r="P5" s="5">
        <f>L5+E5+M5+N5+O5</f>
        <v/>
      </c>
      <c r="Q5" s="5" t="n">
        <v>1224</v>
      </c>
      <c r="R5" s="5">
        <f>P5-Q5</f>
        <v/>
      </c>
      <c r="V5" s="8" t="n">
        <v>2.45</v>
      </c>
      <c r="W5" t="inlineStr">
        <is>
          <t>Green</t>
        </is>
      </c>
    </row>
    <row r="6">
      <c r="A6" s="6" t="inlineStr">
        <is>
          <t>194 Lexington St APT 1, Watertown, MA 02472</t>
        </is>
      </c>
      <c r="B6" t="inlineStr">
        <is>
          <t>Watertown</t>
        </is>
      </c>
      <c r="C6" s="7" t="inlineStr">
        <is>
          <t>https://www.zillow.com/homedetails/194-Lexington-St-APT-1-Watertown-MA-02472/56370715_zpid/</t>
        </is>
      </c>
      <c r="D6" s="5" t="n">
        <v>375000</v>
      </c>
      <c r="E6" s="5" t="n">
        <v>350</v>
      </c>
      <c r="F6" t="inlineStr">
        <is>
          <t>2bd/1.0ba</t>
        </is>
      </c>
      <c r="G6" s="4" t="n">
        <v>600</v>
      </c>
      <c r="H6" t="inlineStr">
        <is>
          <t>No</t>
        </is>
      </c>
      <c r="I6" t="inlineStr">
        <is>
          <t>Off Street, Assigned, Driveway</t>
        </is>
      </c>
      <c r="J6" s="5">
        <f>D6*Assumptions!B3</f>
        <v/>
      </c>
      <c r="K6" s="5">
        <f>D6-J6</f>
        <v/>
      </c>
      <c r="L6" s="5">
        <f>-PMT(Assumptions!B2/12,Assumptions!B4*12,K6)</f>
        <v/>
      </c>
      <c r="M6" s="5">
        <f>D6*Assumptions!B5/12</f>
        <v/>
      </c>
      <c r="N6" s="5">
        <f>Assumptions!B6</f>
        <v/>
      </c>
      <c r="O6" s="5">
        <f>Assumptions!B7+Assumptions!B8</f>
        <v/>
      </c>
      <c r="P6" s="5">
        <f>L6+E6+M6+N6+O6</f>
        <v/>
      </c>
      <c r="Q6" s="5" t="n">
        <v>1224</v>
      </c>
      <c r="R6" s="5">
        <f>P6-Q6</f>
        <v/>
      </c>
      <c r="V6" s="8" t="n">
        <v>2.45</v>
      </c>
      <c r="W6" t="inlineStr">
        <is>
          <t>Green</t>
        </is>
      </c>
    </row>
    <row r="7">
      <c r="A7" s="6" t="inlineStr">
        <is>
          <t>151 Tremont St #U-508, Boston, MA 02111</t>
        </is>
      </c>
      <c r="B7" t="inlineStr">
        <is>
          <t>Cambridge</t>
        </is>
      </c>
      <c r="C7" s="7" t="inlineStr">
        <is>
          <t>https://www.zillow.com/homedetails/151-Tremont-St-U-508-Boston-MA-02111/431633767_zpid/</t>
        </is>
      </c>
      <c r="D7" s="5" t="n">
        <v>56500</v>
      </c>
      <c r="E7" s="5" t="n">
        <v>192</v>
      </c>
      <c r="F7" t="inlineStr">
        <is>
          <t>?bd/?ba</t>
        </is>
      </c>
      <c r="G7" s="4" t="n">
        <v>10018</v>
      </c>
      <c r="H7" t="inlineStr">
        <is>
          <t>No</t>
        </is>
      </c>
      <c r="I7" t="inlineStr">
        <is>
          <t>None listed</t>
        </is>
      </c>
      <c r="J7" s="5">
        <f>D7*Assumptions!B3</f>
        <v/>
      </c>
      <c r="K7" s="5">
        <f>D7-J7</f>
        <v/>
      </c>
      <c r="L7" s="5">
        <f>-PMT(Assumptions!B2/12,Assumptions!B4*12,K7)</f>
        <v/>
      </c>
      <c r="M7" s="5">
        <f>D7*Assumptions!B5/12</f>
        <v/>
      </c>
      <c r="N7" s="5">
        <f>Assumptions!B6</f>
        <v/>
      </c>
      <c r="O7" s="5">
        <f>Assumptions!B7+Assumptions!B8</f>
        <v/>
      </c>
      <c r="P7" s="5">
        <f>L7+E7+M7+N7+O7</f>
        <v/>
      </c>
      <c r="Q7" s="5" t="n">
        <v>3514</v>
      </c>
      <c r="R7" s="5">
        <f>P7-Q7</f>
        <v/>
      </c>
      <c r="V7" s="8" t="n">
        <v>2.45</v>
      </c>
      <c r="W7" t="inlineStr">
        <is>
          <t>Green</t>
        </is>
      </c>
    </row>
    <row r="8">
      <c r="A8" s="6" t="inlineStr">
        <is>
          <t>133 Commander Shea Blvd APT 502, Quincy, MA 02171</t>
        </is>
      </c>
      <c r="B8" t="inlineStr">
        <is>
          <t>Quincy</t>
        </is>
      </c>
      <c r="C8" s="7" t="inlineStr">
        <is>
          <t>https://www.zillow.com/homedetails/133-Commander-Shea-Blvd-APT-502-Quincy-MA-02171/56602111_zpid/</t>
        </is>
      </c>
      <c r="D8" s="5" t="n">
        <v>349900</v>
      </c>
      <c r="E8" s="5" t="n">
        <v>0</v>
      </c>
      <c r="F8" t="inlineStr">
        <is>
          <t>1bd/1.0ba</t>
        </is>
      </c>
      <c r="G8" s="4" t="n">
        <v>644</v>
      </c>
      <c r="H8" t="inlineStr">
        <is>
          <t>No</t>
        </is>
      </c>
      <c r="I8" t="inlineStr">
        <is>
          <t>Unknown</t>
        </is>
      </c>
      <c r="J8" s="5">
        <f>D8*Assumptions!B3</f>
        <v/>
      </c>
      <c r="K8" s="5">
        <f>D8-J8</f>
        <v/>
      </c>
      <c r="L8" s="5">
        <f>-PMT(Assumptions!B2/12,Assumptions!B4*12,K8)</f>
        <v/>
      </c>
      <c r="M8" s="5">
        <f>D8*Assumptions!B5/12</f>
        <v/>
      </c>
      <c r="N8" s="5">
        <f>Assumptions!B6</f>
        <v/>
      </c>
      <c r="O8" s="5">
        <f>Assumptions!B7+Assumptions!B8</f>
        <v/>
      </c>
      <c r="P8" s="5">
        <f>L8+E8+M8+N8+O8</f>
        <v/>
      </c>
      <c r="Q8" s="5" t="n">
        <v>1800</v>
      </c>
      <c r="R8" s="5">
        <f>P8-Q8</f>
        <v/>
      </c>
      <c r="V8" s="8" t="n">
        <v>2.4</v>
      </c>
      <c r="W8" t="inlineStr">
        <is>
          <t>Green</t>
        </is>
      </c>
    </row>
    <row r="9">
      <c r="A9" s="6" t="inlineStr">
        <is>
          <t>1025 Hancock St Unit 2K, Quincy, MA 02169</t>
        </is>
      </c>
      <c r="B9" t="inlineStr">
        <is>
          <t>Quincy</t>
        </is>
      </c>
      <c r="C9" s="7" t="inlineStr">
        <is>
          <t>https://www.zillow.com/homedetails/1025-Hancock-St-UNIT-2K-Quincy-MA-02169/66655529_zpid/</t>
        </is>
      </c>
      <c r="D9" s="5" t="n">
        <v>264000</v>
      </c>
      <c r="E9" s="5" t="n">
        <v>0</v>
      </c>
      <c r="F9" t="inlineStr">
        <is>
          <t>?bd/1.0ba</t>
        </is>
      </c>
      <c r="G9" s="4" t="n">
        <v>445</v>
      </c>
      <c r="H9" t="inlineStr">
        <is>
          <t>No</t>
        </is>
      </c>
      <c r="I9" t="inlineStr">
        <is>
          <t>Unknown</t>
        </is>
      </c>
      <c r="J9" s="5">
        <f>D9*Assumptions!B3</f>
        <v/>
      </c>
      <c r="K9" s="5">
        <f>D9-J9</f>
        <v/>
      </c>
      <c r="L9" s="5">
        <f>-PMT(Assumptions!B2/12,Assumptions!B4*12,K9)</f>
        <v/>
      </c>
      <c r="M9" s="5">
        <f>D9*Assumptions!B5/12</f>
        <v/>
      </c>
      <c r="N9" s="5">
        <f>Assumptions!B6</f>
        <v/>
      </c>
      <c r="O9" s="5">
        <f>Assumptions!B7+Assumptions!B8</f>
        <v/>
      </c>
      <c r="P9" s="5">
        <f>L9+E9+M9+N9+O9</f>
        <v/>
      </c>
      <c r="Q9" s="5" t="n">
        <v>1800</v>
      </c>
      <c r="R9" s="5">
        <f>P9-Q9</f>
        <v/>
      </c>
      <c r="V9" s="8" t="n">
        <v>2.4</v>
      </c>
      <c r="W9" t="inlineStr">
        <is>
          <t>Green</t>
        </is>
      </c>
    </row>
    <row r="10">
      <c r="A10" s="6" t="inlineStr">
        <is>
          <t>88 Gordon St APT 304, Brighton, MA 02135</t>
        </is>
      </c>
      <c r="B10" t="inlineStr">
        <is>
          <t>Brighton</t>
        </is>
      </c>
      <c r="C10" s="7" t="inlineStr">
        <is>
          <t>https://www.zillow.com/homedetails/88-Gordon-St-APT-304-Brighton-MA-02135/59162680_zpid/</t>
        </is>
      </c>
      <c r="D10" s="5" t="n">
        <v>399000</v>
      </c>
      <c r="E10" s="5" t="n">
        <v>0</v>
      </c>
      <c r="F10" t="inlineStr">
        <is>
          <t>1bd/1.0ba</t>
        </is>
      </c>
      <c r="G10" s="4" t="n">
        <v>533</v>
      </c>
      <c r="H10" t="inlineStr">
        <is>
          <t>No</t>
        </is>
      </c>
      <c r="I10" t="inlineStr">
        <is>
          <t>Unknown</t>
        </is>
      </c>
      <c r="J10" s="5">
        <f>D10*Assumptions!B3</f>
        <v/>
      </c>
      <c r="K10" s="5">
        <f>D10-J10</f>
        <v/>
      </c>
      <c r="L10" s="5">
        <f>-PMT(Assumptions!B2/12,Assumptions!B4*12,K10)</f>
        <v/>
      </c>
      <c r="M10" s="5">
        <f>D10*Assumptions!B5/12</f>
        <v/>
      </c>
      <c r="N10" s="5">
        <f>Assumptions!B6</f>
        <v/>
      </c>
      <c r="O10" s="5">
        <f>Assumptions!B7+Assumptions!B8</f>
        <v/>
      </c>
      <c r="P10" s="5">
        <f>L10+E10+M10+N10+O10</f>
        <v/>
      </c>
      <c r="Q10" s="5" t="n">
        <v>2000</v>
      </c>
      <c r="R10" s="5">
        <f>P10-Q10</f>
        <v/>
      </c>
      <c r="V10" s="8" t="n">
        <v>2.4</v>
      </c>
      <c r="W10" t="inlineStr">
        <is>
          <t>Green</t>
        </is>
      </c>
    </row>
    <row r="11">
      <c r="A11" s="6" t="inlineStr">
        <is>
          <t>26 Chiswick Rd APT 6, Brighton, MA 02135</t>
        </is>
      </c>
      <c r="B11" t="inlineStr">
        <is>
          <t>Brighton</t>
        </is>
      </c>
      <c r="C11" s="7" t="inlineStr">
        <is>
          <t>https://www.zillow.com/homedetails/26-Chiswick-Rd-APT-6-Brighton-MA-02135/59094013_zpid/</t>
        </is>
      </c>
      <c r="D11" s="5" t="n">
        <v>368000</v>
      </c>
      <c r="E11" s="5" t="n">
        <v>0</v>
      </c>
      <c r="F11" t="inlineStr">
        <is>
          <t>1bd/1.0ba</t>
        </is>
      </c>
      <c r="G11" s="4" t="n">
        <v>470</v>
      </c>
      <c r="H11" t="inlineStr">
        <is>
          <t>No</t>
        </is>
      </c>
      <c r="I11" t="inlineStr">
        <is>
          <t>Unknown</t>
        </is>
      </c>
      <c r="J11" s="5">
        <f>D11*Assumptions!B3</f>
        <v/>
      </c>
      <c r="K11" s="5">
        <f>D11-J11</f>
        <v/>
      </c>
      <c r="L11" s="5">
        <f>-PMT(Assumptions!B2/12,Assumptions!B4*12,K11)</f>
        <v/>
      </c>
      <c r="M11" s="5">
        <f>D11*Assumptions!B5/12</f>
        <v/>
      </c>
      <c r="N11" s="5">
        <f>Assumptions!B6</f>
        <v/>
      </c>
      <c r="O11" s="5">
        <f>Assumptions!B7+Assumptions!B8</f>
        <v/>
      </c>
      <c r="P11" s="5">
        <f>L11+E11+M11+N11+O11</f>
        <v/>
      </c>
      <c r="Q11" s="5" t="n">
        <v>2000</v>
      </c>
      <c r="R11" s="5">
        <f>P11-Q11</f>
        <v/>
      </c>
      <c r="V11" s="8" t="n">
        <v>2.4</v>
      </c>
      <c r="W11" t="inlineStr">
        <is>
          <t>Green</t>
        </is>
      </c>
    </row>
    <row r="12">
      <c r="A12" s="6" t="inlineStr">
        <is>
          <t>10 Skyline Dr APT 5, Braintree, MA 02184</t>
        </is>
      </c>
      <c r="B12" t="inlineStr">
        <is>
          <t>Quincy</t>
        </is>
      </c>
      <c r="C12" s="7" t="inlineStr">
        <is>
          <t>https://www.zillow.com/homedetails/10-Skyline-Dr-APT-5-Braintree-MA-02184/184109022_zpid/</t>
        </is>
      </c>
      <c r="D12" s="5" t="n">
        <v>359000</v>
      </c>
      <c r="E12" s="5" t="n">
        <v>465</v>
      </c>
      <c r="F12" t="inlineStr">
        <is>
          <t>2bd/1.0ba</t>
        </is>
      </c>
      <c r="G12" s="4" t="n">
        <v>850</v>
      </c>
      <c r="H12" t="inlineStr">
        <is>
          <t>No</t>
        </is>
      </c>
      <c r="I12" t="inlineStr">
        <is>
          <t>Deeded, Assigned</t>
        </is>
      </c>
      <c r="J12" s="5">
        <f>D12*Assumptions!B3</f>
        <v/>
      </c>
      <c r="K12" s="5">
        <f>D12-J12</f>
        <v/>
      </c>
      <c r="L12" s="5">
        <f>-PMT(Assumptions!B2/12,Assumptions!B4*12,K12)</f>
        <v/>
      </c>
      <c r="M12" s="5">
        <f>D12*Assumptions!B5/12</f>
        <v/>
      </c>
      <c r="N12" s="5">
        <f>Assumptions!B6</f>
        <v/>
      </c>
      <c r="O12" s="5">
        <f>Assumptions!B7+Assumptions!B8</f>
        <v/>
      </c>
      <c r="P12" s="5">
        <f>L12+E12+M12+N12+O12</f>
        <v/>
      </c>
      <c r="Q12" s="5" t="n">
        <v>1140</v>
      </c>
      <c r="R12" s="5">
        <f>P12-Q12</f>
        <v/>
      </c>
      <c r="V12" s="8" t="n">
        <v>2.35</v>
      </c>
      <c r="W12" t="inlineStr">
        <is>
          <t>Green</t>
        </is>
      </c>
    </row>
    <row r="13">
      <c r="A13" s="6" t="inlineStr">
        <is>
          <t>66 Bryon Rd APT 2, Chestnut Hill, MA 02467</t>
        </is>
      </c>
      <c r="B13" t="inlineStr">
        <is>
          <t>Newton</t>
        </is>
      </c>
      <c r="C13" s="7" t="inlineStr">
        <is>
          <t>https://www.zillow.com/homedetails/66-Bryon-Rd-APT-2-Chestnut-Hill-MA-02467/2128070393_zpid/</t>
        </is>
      </c>
      <c r="D13" s="5" t="n">
        <v>385000</v>
      </c>
      <c r="E13" s="5" t="n">
        <v>422</v>
      </c>
      <c r="F13" t="inlineStr">
        <is>
          <t>2bd/1.0ba</t>
        </is>
      </c>
      <c r="G13" s="4" t="n">
        <v>780</v>
      </c>
      <c r="H13" t="inlineStr">
        <is>
          <t>No</t>
        </is>
      </c>
      <c r="I13" t="inlineStr">
        <is>
          <t>Deeded, Paved</t>
        </is>
      </c>
      <c r="J13" s="5">
        <f>D13*Assumptions!B3</f>
        <v/>
      </c>
      <c r="K13" s="5">
        <f>D13-J13</f>
        <v/>
      </c>
      <c r="L13" s="5">
        <f>-PMT(Assumptions!B2/12,Assumptions!B4*12,K13)</f>
        <v/>
      </c>
      <c r="M13" s="5">
        <f>D13*Assumptions!B5/12</f>
        <v/>
      </c>
      <c r="N13" s="5">
        <f>Assumptions!B6</f>
        <v/>
      </c>
      <c r="O13" s="5">
        <f>Assumptions!B7+Assumptions!B8</f>
        <v/>
      </c>
      <c r="P13" s="5">
        <f>L13+E13+M13+N13+O13</f>
        <v/>
      </c>
      <c r="Q13" s="5" t="n">
        <v>1386</v>
      </c>
      <c r="R13" s="5">
        <f>P13-Q13</f>
        <v/>
      </c>
      <c r="V13" s="8" t="n">
        <v>2.35</v>
      </c>
      <c r="W13" t="inlineStr">
        <is>
          <t>Green</t>
        </is>
      </c>
    </row>
    <row r="14">
      <c r="A14" s="6" t="inlineStr">
        <is>
          <t>60 Bryon Rd APT 1, Chestnut Hill, MA 02467</t>
        </is>
      </c>
      <c r="B14" t="inlineStr">
        <is>
          <t>Newton</t>
        </is>
      </c>
      <c r="C14" s="7" t="inlineStr">
        <is>
          <t>https://www.zillow.com/homedetails/60-Bryon-Rd-APT-1-Chestnut-Hill-MA-02467/2107598505_zpid/</t>
        </is>
      </c>
      <c r="D14" s="5" t="n">
        <v>348899</v>
      </c>
      <c r="E14" s="5" t="n">
        <v>358</v>
      </c>
      <c r="F14" t="inlineStr">
        <is>
          <t>2bd/1.0ba</t>
        </is>
      </c>
      <c r="G14" s="4" t="n">
        <v>786</v>
      </c>
      <c r="H14" t="inlineStr">
        <is>
          <t>No</t>
        </is>
      </c>
      <c r="I14" t="inlineStr">
        <is>
          <t>None listed</t>
        </is>
      </c>
      <c r="J14" s="5">
        <f>D14*Assumptions!B3</f>
        <v/>
      </c>
      <c r="K14" s="5">
        <f>D14-J14</f>
        <v/>
      </c>
      <c r="L14" s="5">
        <f>-PMT(Assumptions!B2/12,Assumptions!B4*12,K14)</f>
        <v/>
      </c>
      <c r="M14" s="5">
        <f>D14*Assumptions!B5/12</f>
        <v/>
      </c>
      <c r="N14" s="5">
        <f>Assumptions!B6</f>
        <v/>
      </c>
      <c r="O14" s="5">
        <f>Assumptions!B7+Assumptions!B8</f>
        <v/>
      </c>
      <c r="P14" s="5">
        <f>L14+E14+M14+N14+O14</f>
        <v/>
      </c>
      <c r="Q14" s="5" t="n">
        <v>1334</v>
      </c>
      <c r="R14" s="5">
        <f>P14-Q14</f>
        <v/>
      </c>
      <c r="V14" s="8" t="n">
        <v>2.35</v>
      </c>
      <c r="W14" t="inlineStr">
        <is>
          <t>Green</t>
        </is>
      </c>
    </row>
    <row r="15">
      <c r="A15" s="6" t="inlineStr">
        <is>
          <t>38 Carey Ave APT 3, Watertown, MA 02472</t>
        </is>
      </c>
      <c r="B15" t="inlineStr">
        <is>
          <t>Watertown</t>
        </is>
      </c>
      <c r="C15" s="7" t="inlineStr">
        <is>
          <t>https://www.zillow.com/homedetails/38-Carey-Ave-APT-3-Watertown-MA-02472/56370676_zpid/</t>
        </is>
      </c>
      <c r="D15" s="5" t="n">
        <v>374899</v>
      </c>
      <c r="E15" s="5" t="n">
        <v>350</v>
      </c>
      <c r="F15" t="inlineStr">
        <is>
          <t>2bd/1.0ba</t>
        </is>
      </c>
      <c r="G15" s="4" t="n">
        <v>600</v>
      </c>
      <c r="H15" t="inlineStr">
        <is>
          <t>No</t>
        </is>
      </c>
      <c r="I15" t="inlineStr">
        <is>
          <t>None listed</t>
        </is>
      </c>
      <c r="J15" s="5">
        <f>D15*Assumptions!B3</f>
        <v/>
      </c>
      <c r="K15" s="5">
        <f>D15-J15</f>
        <v/>
      </c>
      <c r="L15" s="5">
        <f>-PMT(Assumptions!B2/12,Assumptions!B4*12,K15)</f>
        <v/>
      </c>
      <c r="M15" s="5">
        <f>D15*Assumptions!B5/12</f>
        <v/>
      </c>
      <c r="N15" s="5">
        <f>Assumptions!B6</f>
        <v/>
      </c>
      <c r="O15" s="5">
        <f>Assumptions!B7+Assumptions!B8</f>
        <v/>
      </c>
      <c r="P15" s="5">
        <f>L15+E15+M15+N15+O15</f>
        <v/>
      </c>
      <c r="Q15" s="5" t="n">
        <v>1135</v>
      </c>
      <c r="R15" s="5">
        <f>P15-Q15</f>
        <v/>
      </c>
      <c r="V15" s="8" t="n">
        <v>2.35</v>
      </c>
      <c r="W15" t="inlineStr">
        <is>
          <t>Green</t>
        </is>
      </c>
    </row>
    <row r="16">
      <c r="A16" s="6" t="inlineStr">
        <is>
          <t>1641 Commonwealth Ave APT 16, Brighton, MA 02135</t>
        </is>
      </c>
      <c r="B16" t="inlineStr">
        <is>
          <t>Brighton</t>
        </is>
      </c>
      <c r="C16" s="7" t="inlineStr">
        <is>
          <t>https://www.zillow.com/homedetails/1641-Commonwealth-Ave-APT-16-Brighton-MA-02135/59089337_zpid/</t>
        </is>
      </c>
      <c r="D16" s="5" t="n">
        <v>349000</v>
      </c>
      <c r="E16" s="5" t="n">
        <v>399</v>
      </c>
      <c r="F16" t="inlineStr">
        <is>
          <t>1bd/1.0ba</t>
        </is>
      </c>
      <c r="G16" s="4" t="n">
        <v>407</v>
      </c>
      <c r="H16" t="inlineStr">
        <is>
          <t>No</t>
        </is>
      </c>
      <c r="I16" t="inlineStr">
        <is>
          <t>On Street</t>
        </is>
      </c>
      <c r="J16" s="5">
        <f>D16*Assumptions!B3</f>
        <v/>
      </c>
      <c r="K16" s="5">
        <f>D16-J16</f>
        <v/>
      </c>
      <c r="L16" s="5">
        <f>-PMT(Assumptions!B2/12,Assumptions!B4*12,K16)</f>
        <v/>
      </c>
      <c r="M16" s="5">
        <f>D16*Assumptions!B5/12</f>
        <v/>
      </c>
      <c r="N16" s="5">
        <f>Assumptions!B6</f>
        <v/>
      </c>
      <c r="O16" s="5">
        <f>Assumptions!B7+Assumptions!B8</f>
        <v/>
      </c>
      <c r="P16" s="5">
        <f>L16+E16+M16+N16+O16</f>
        <v/>
      </c>
      <c r="Q16" s="5" t="n">
        <v>1237</v>
      </c>
      <c r="R16" s="5">
        <f>P16-Q16</f>
        <v/>
      </c>
      <c r="V16" s="8" t="n">
        <v>2.35</v>
      </c>
      <c r="W16" t="inlineStr">
        <is>
          <t>Green</t>
        </is>
      </c>
    </row>
    <row r="17">
      <c r="A17" s="6" t="inlineStr">
        <is>
          <t>354 Market St APT 9, Brighton, MA 02135</t>
        </is>
      </c>
      <c r="B17" t="inlineStr">
        <is>
          <t>Brighton</t>
        </is>
      </c>
      <c r="C17" s="7" t="inlineStr">
        <is>
          <t>https://www.zillow.com/homedetails/354-Market-St-APT-9-Brighton-MA-02135/59093859_zpid/</t>
        </is>
      </c>
      <c r="D17" s="5" t="n">
        <v>374900</v>
      </c>
      <c r="E17" s="5" t="n">
        <v>311</v>
      </c>
      <c r="F17" t="inlineStr">
        <is>
          <t>1bd/1.0ba</t>
        </is>
      </c>
      <c r="G17" s="4" t="n">
        <v>590</v>
      </c>
      <c r="H17" t="inlineStr">
        <is>
          <t>No</t>
        </is>
      </c>
      <c r="I17" t="inlineStr">
        <is>
          <t>Off Street, Assigned, Paved</t>
        </is>
      </c>
      <c r="J17" s="5">
        <f>D17*Assumptions!B3</f>
        <v/>
      </c>
      <c r="K17" s="5">
        <f>D17-J17</f>
        <v/>
      </c>
      <c r="L17" s="5">
        <f>-PMT(Assumptions!B2/12,Assumptions!B4*12,K17)</f>
        <v/>
      </c>
      <c r="M17" s="5">
        <f>D17*Assumptions!B5/12</f>
        <v/>
      </c>
      <c r="N17" s="5">
        <f>Assumptions!B6</f>
        <v/>
      </c>
      <c r="O17" s="5">
        <f>Assumptions!B7+Assumptions!B8</f>
        <v/>
      </c>
      <c r="P17" s="5">
        <f>L17+E17+M17+N17+O17</f>
        <v/>
      </c>
      <c r="Q17" s="5" t="n">
        <v>1362</v>
      </c>
      <c r="R17" s="5">
        <f>P17-Q17</f>
        <v/>
      </c>
      <c r="V17" s="8" t="n">
        <v>2.35</v>
      </c>
      <c r="W17" t="inlineStr">
        <is>
          <t>Green</t>
        </is>
      </c>
    </row>
    <row r="18">
      <c r="A18" s="6" t="inlineStr">
        <is>
          <t>5 Braemore Rd APT 10, Brighton, MA 02135</t>
        </is>
      </c>
      <c r="B18" t="inlineStr">
        <is>
          <t>Brighton</t>
        </is>
      </c>
      <c r="C18" s="7" t="inlineStr">
        <is>
          <t>https://www.zillow.com/homedetails/5-Braemore-Rd-APT-10-Brighton-MA-02135/59213457_zpid/</t>
        </is>
      </c>
      <c r="D18" s="5" t="n">
        <v>315000</v>
      </c>
      <c r="E18" s="5" t="n">
        <v>352</v>
      </c>
      <c r="F18" t="inlineStr">
        <is>
          <t>1bd/1.0ba</t>
        </is>
      </c>
      <c r="G18" s="4" t="n">
        <v>385</v>
      </c>
      <c r="H18" t="inlineStr">
        <is>
          <t>No</t>
        </is>
      </c>
      <c r="I18" t="inlineStr">
        <is>
          <t>On Street</t>
        </is>
      </c>
      <c r="J18" s="5">
        <f>D18*Assumptions!B3</f>
        <v/>
      </c>
      <c r="K18" s="5">
        <f>D18-J18</f>
        <v/>
      </c>
      <c r="L18" s="5">
        <f>-PMT(Assumptions!B2/12,Assumptions!B4*12,K18)</f>
        <v/>
      </c>
      <c r="M18" s="5">
        <f>D18*Assumptions!B5/12</f>
        <v/>
      </c>
      <c r="N18" s="5">
        <f>Assumptions!B6</f>
        <v/>
      </c>
      <c r="O18" s="5">
        <f>Assumptions!B7+Assumptions!B8</f>
        <v/>
      </c>
      <c r="P18" s="5">
        <f>L18+E18+M18+N18+O18</f>
        <v/>
      </c>
      <c r="Q18" s="5" t="n">
        <v>1344</v>
      </c>
      <c r="R18" s="5">
        <f>P18-Q18</f>
        <v/>
      </c>
      <c r="V18" s="8" t="n">
        <v>2.35</v>
      </c>
      <c r="W18" t="inlineStr">
        <is>
          <t>Green</t>
        </is>
      </c>
    </row>
    <row r="19">
      <c r="A19" s="6" t="inlineStr">
        <is>
          <t>32 Almont St #1, Medford, MA 02155</t>
        </is>
      </c>
      <c r="B19" t="inlineStr">
        <is>
          <t>Medford</t>
        </is>
      </c>
      <c r="C19" s="7" t="inlineStr">
        <is>
          <t>https://www.zillow.com/homedetails/32-Almont-St-1-Medford-MA-02155/71661241_zpid/</t>
        </is>
      </c>
      <c r="D19" s="5" t="n">
        <v>330000</v>
      </c>
      <c r="E19" s="5" t="n">
        <v>241</v>
      </c>
      <c r="F19" t="inlineStr">
        <is>
          <t>1bd/1.0ba</t>
        </is>
      </c>
      <c r="G19" s="4" t="n">
        <v>528</v>
      </c>
      <c r="H19" t="inlineStr">
        <is>
          <t>No</t>
        </is>
      </c>
      <c r="I19" t="inlineStr">
        <is>
          <t>Open</t>
        </is>
      </c>
      <c r="J19" s="5">
        <f>D19*Assumptions!B3</f>
        <v/>
      </c>
      <c r="K19" s="5">
        <f>D19-J19</f>
        <v/>
      </c>
      <c r="L19" s="5">
        <f>-PMT(Assumptions!B2/12,Assumptions!B4*12,K19)</f>
        <v/>
      </c>
      <c r="M19" s="5">
        <f>D19*Assumptions!B5/12</f>
        <v/>
      </c>
      <c r="N19" s="5">
        <f>Assumptions!B6</f>
        <v/>
      </c>
      <c r="O19" s="5">
        <f>Assumptions!B7+Assumptions!B8</f>
        <v/>
      </c>
      <c r="P19" s="5">
        <f>L19+E19+M19+N19+O19</f>
        <v/>
      </c>
      <c r="Q19" s="5" t="n">
        <v>1284</v>
      </c>
      <c r="R19" s="5">
        <f>P19-Q19</f>
        <v/>
      </c>
      <c r="V19" s="8" t="n">
        <v>2.35</v>
      </c>
      <c r="W19" t="inlineStr">
        <is>
          <t>Green</t>
        </is>
      </c>
    </row>
    <row r="20">
      <c r="A20" s="6" t="inlineStr">
        <is>
          <t>212 Quincy Shore Dr #A, Quincy, MA 02171</t>
        </is>
      </c>
      <c r="B20" t="inlineStr">
        <is>
          <t>Quincy</t>
        </is>
      </c>
      <c r="C20" s="7" t="inlineStr">
        <is>
          <t>https://www.zillow.com/homedetails/212-Quincy-Shore-Dr-A-Quincy-MA-02171/458571840_zpid/</t>
        </is>
      </c>
      <c r="D20" s="5" t="n">
        <v>499900</v>
      </c>
      <c r="E20" s="5" t="n">
        <v>0</v>
      </c>
      <c r="F20" t="inlineStr">
        <is>
          <t>2bd/1.0ba</t>
        </is>
      </c>
      <c r="G20" s="4" t="n">
        <v>864</v>
      </c>
      <c r="H20" t="inlineStr">
        <is>
          <t>No</t>
        </is>
      </c>
      <c r="I20" t="inlineStr">
        <is>
          <t>Unknown</t>
        </is>
      </c>
      <c r="J20" s="5">
        <f>D20*Assumptions!B3</f>
        <v/>
      </c>
      <c r="K20" s="5">
        <f>D20-J20</f>
        <v/>
      </c>
      <c r="L20" s="5">
        <f>-PMT(Assumptions!B2/12,Assumptions!B4*12,K20)</f>
        <v/>
      </c>
      <c r="M20" s="5">
        <f>D20*Assumptions!B5/12</f>
        <v/>
      </c>
      <c r="N20" s="5">
        <f>Assumptions!B6</f>
        <v/>
      </c>
      <c r="O20" s="5">
        <f>Assumptions!B7+Assumptions!B8</f>
        <v/>
      </c>
      <c r="P20" s="5">
        <f>L20+E20+M20+N20+O20</f>
        <v/>
      </c>
      <c r="Q20" s="5" t="n">
        <v>1800</v>
      </c>
      <c r="R20" s="5">
        <f>P20-Q20</f>
        <v/>
      </c>
      <c r="V20" s="8" t="n">
        <v>2.3</v>
      </c>
      <c r="W20" t="inlineStr">
        <is>
          <t>Green</t>
        </is>
      </c>
    </row>
    <row r="21">
      <c r="A21" s="6" t="inlineStr">
        <is>
          <t>200 Falls Blvd Unit B305, Quincy, MA 02169</t>
        </is>
      </c>
      <c r="B21" t="inlineStr">
        <is>
          <t>Quincy</t>
        </is>
      </c>
      <c r="C21" s="7" t="inlineStr">
        <is>
          <t>https://www.zillow.com/homedetails/200-Falls-Blvd-UNIT-B305-Quincy-MA-02169/56590577_zpid/</t>
        </is>
      </c>
      <c r="D21" s="5" t="n">
        <v>463000</v>
      </c>
      <c r="E21" s="5" t="n">
        <v>0</v>
      </c>
      <c r="F21" t="inlineStr">
        <is>
          <t>2bd/2.0ba</t>
        </is>
      </c>
      <c r="G21" s="4" t="n">
        <v>980</v>
      </c>
      <c r="H21" t="inlineStr">
        <is>
          <t>No</t>
        </is>
      </c>
      <c r="I21" t="inlineStr">
        <is>
          <t>Unknown</t>
        </is>
      </c>
      <c r="J21" s="5">
        <f>D21*Assumptions!B3</f>
        <v/>
      </c>
      <c r="K21" s="5">
        <f>D21-J21</f>
        <v/>
      </c>
      <c r="L21" s="5">
        <f>-PMT(Assumptions!B2/12,Assumptions!B4*12,K21)</f>
        <v/>
      </c>
      <c r="M21" s="5">
        <f>D21*Assumptions!B5/12</f>
        <v/>
      </c>
      <c r="N21" s="5">
        <f>Assumptions!B6</f>
        <v/>
      </c>
      <c r="O21" s="5">
        <f>Assumptions!B7+Assumptions!B8</f>
        <v/>
      </c>
      <c r="P21" s="5">
        <f>L21+E21+M21+N21+O21</f>
        <v/>
      </c>
      <c r="Q21" s="5" t="n">
        <v>1800</v>
      </c>
      <c r="R21" s="5">
        <f>P21-Q21</f>
        <v/>
      </c>
      <c r="V21" s="8" t="n">
        <v>2.3</v>
      </c>
      <c r="W21" t="inlineStr">
        <is>
          <t>Green</t>
        </is>
      </c>
    </row>
    <row r="22">
      <c r="A22" s="6" t="inlineStr">
        <is>
          <t>16 Winter St APT 26C, Waltham, MA 02451</t>
        </is>
      </c>
      <c r="B22" t="inlineStr">
        <is>
          <t>Waltham</t>
        </is>
      </c>
      <c r="C22" s="7" t="inlineStr">
        <is>
          <t>https://www.zillow.com/homedetails/16-Winter-St-APT-26C-Waltham-MA-02451/56360152_zpid/</t>
        </is>
      </c>
      <c r="D22" s="5" t="n">
        <v>425000</v>
      </c>
      <c r="E22" s="5" t="n">
        <v>0</v>
      </c>
      <c r="F22" t="inlineStr">
        <is>
          <t>2bd/2.0ba</t>
        </is>
      </c>
      <c r="G22" s="4" t="n">
        <v>1000</v>
      </c>
      <c r="H22" t="inlineStr">
        <is>
          <t>No</t>
        </is>
      </c>
      <c r="I22" t="inlineStr">
        <is>
          <t>Unknown</t>
        </is>
      </c>
      <c r="J22" s="5">
        <f>D22*Assumptions!B3</f>
        <v/>
      </c>
      <c r="K22" s="5">
        <f>D22-J22</f>
        <v/>
      </c>
      <c r="L22" s="5">
        <f>-PMT(Assumptions!B2/12,Assumptions!B4*12,K22)</f>
        <v/>
      </c>
      <c r="M22" s="5">
        <f>D22*Assumptions!B5/12</f>
        <v/>
      </c>
      <c r="N22" s="5">
        <f>Assumptions!B6</f>
        <v/>
      </c>
      <c r="O22" s="5">
        <f>Assumptions!B7+Assumptions!B8</f>
        <v/>
      </c>
      <c r="P22" s="5">
        <f>L22+E22+M22+N22+O22</f>
        <v/>
      </c>
      <c r="Q22" s="5" t="n">
        <v>1900</v>
      </c>
      <c r="R22" s="5">
        <f>P22-Q22</f>
        <v/>
      </c>
      <c r="V22" s="8" t="n">
        <v>2.3</v>
      </c>
      <c r="W22" t="inlineStr">
        <is>
          <t>Green</t>
        </is>
      </c>
    </row>
    <row r="23">
      <c r="A23" s="6" t="inlineStr">
        <is>
          <t>164 Galen St APT 65, Watertown, MA 02472</t>
        </is>
      </c>
      <c r="B23" t="inlineStr">
        <is>
          <t>Newton</t>
        </is>
      </c>
      <c r="C23" s="7" t="inlineStr">
        <is>
          <t>https://www.zillow.com/homedetails/164-Galen-St-APT-65-Watertown-MA-02472/56367887_zpid/</t>
        </is>
      </c>
      <c r="D23" s="5" t="n">
        <v>409000</v>
      </c>
      <c r="E23" s="5" t="n">
        <v>0</v>
      </c>
      <c r="F23" t="inlineStr">
        <is>
          <t>2bd/1.0ba</t>
        </is>
      </c>
      <c r="G23" s="4" t="n">
        <v>950</v>
      </c>
      <c r="H23" t="inlineStr">
        <is>
          <t>No</t>
        </is>
      </c>
      <c r="I23" t="inlineStr">
        <is>
          <t>Unknown</t>
        </is>
      </c>
      <c r="J23" s="5">
        <f>D23*Assumptions!B3</f>
        <v/>
      </c>
      <c r="K23" s="5">
        <f>D23-J23</f>
        <v/>
      </c>
      <c r="L23" s="5">
        <f>-PMT(Assumptions!B2/12,Assumptions!B4*12,K23)</f>
        <v/>
      </c>
      <c r="M23" s="5">
        <f>D23*Assumptions!B5/12</f>
        <v/>
      </c>
      <c r="N23" s="5">
        <f>Assumptions!B6</f>
        <v/>
      </c>
      <c r="O23" s="5">
        <f>Assumptions!B7+Assumptions!B8</f>
        <v/>
      </c>
      <c r="P23" s="5">
        <f>L23+E23+M23+N23+O23</f>
        <v/>
      </c>
      <c r="Q23" s="5" t="n">
        <v>2200</v>
      </c>
      <c r="R23" s="5">
        <f>P23-Q23</f>
        <v/>
      </c>
      <c r="V23" s="8" t="n">
        <v>2.3</v>
      </c>
      <c r="W23" t="inlineStr">
        <is>
          <t>Green</t>
        </is>
      </c>
    </row>
    <row r="24">
      <c r="A24" s="6" t="inlineStr">
        <is>
          <t>45 Gordon St APT 4, Allston, MA 02134</t>
        </is>
      </c>
      <c r="B24" t="inlineStr">
        <is>
          <t>Brighton</t>
        </is>
      </c>
      <c r="C24" s="7" t="inlineStr">
        <is>
          <t>https://www.zillow.com/homedetails/45-Gordon-St-APT-4-Allston-MA-02134/59088776_zpid/</t>
        </is>
      </c>
      <c r="D24" s="5" t="n">
        <v>489000</v>
      </c>
      <c r="E24" s="5" t="n">
        <v>0</v>
      </c>
      <c r="F24" t="inlineStr">
        <is>
          <t>2bd/1.0ba</t>
        </is>
      </c>
      <c r="G24" s="4" t="n">
        <v>675</v>
      </c>
      <c r="H24" t="inlineStr">
        <is>
          <t>No</t>
        </is>
      </c>
      <c r="I24" t="inlineStr">
        <is>
          <t>Unknown</t>
        </is>
      </c>
      <c r="J24" s="5">
        <f>D24*Assumptions!B3</f>
        <v/>
      </c>
      <c r="K24" s="5">
        <f>D24-J24</f>
        <v/>
      </c>
      <c r="L24" s="5">
        <f>-PMT(Assumptions!B2/12,Assumptions!B4*12,K24)</f>
        <v/>
      </c>
      <c r="M24" s="5">
        <f>D24*Assumptions!B5/12</f>
        <v/>
      </c>
      <c r="N24" s="5">
        <f>Assumptions!B6</f>
        <v/>
      </c>
      <c r="O24" s="5">
        <f>Assumptions!B7+Assumptions!B8</f>
        <v/>
      </c>
      <c r="P24" s="5">
        <f>L24+E24+M24+N24+O24</f>
        <v/>
      </c>
      <c r="Q24" s="5" t="n">
        <v>2000</v>
      </c>
      <c r="R24" s="5">
        <f>P24-Q24</f>
        <v/>
      </c>
      <c r="V24" s="8" t="n">
        <v>2.3</v>
      </c>
      <c r="W24" t="inlineStr">
        <is>
          <t>Green</t>
        </is>
      </c>
    </row>
    <row r="25">
      <c r="A25" s="6" t="inlineStr">
        <is>
          <t>59 Brighton Ave APT A, Allston, MA 02134</t>
        </is>
      </c>
      <c r="B25" t="inlineStr">
        <is>
          <t>Allston</t>
        </is>
      </c>
      <c r="C25" s="7" t="inlineStr">
        <is>
          <t>https://www.zillow.com/homedetails/59-Brighton-Ave-APT-A-Allston-MA-02134/59087457_zpid/</t>
        </is>
      </c>
      <c r="D25" s="5" t="n">
        <v>479900</v>
      </c>
      <c r="E25" s="5" t="n">
        <v>0</v>
      </c>
      <c r="F25" t="inlineStr">
        <is>
          <t>2bd/1.0ba</t>
        </is>
      </c>
      <c r="G25" s="4" t="n">
        <v>670</v>
      </c>
      <c r="H25" t="inlineStr">
        <is>
          <t>No</t>
        </is>
      </c>
      <c r="I25" t="inlineStr">
        <is>
          <t>Unknown</t>
        </is>
      </c>
      <c r="J25" s="5">
        <f>D25*Assumptions!B3</f>
        <v/>
      </c>
      <c r="K25" s="5">
        <f>D25-J25</f>
        <v/>
      </c>
      <c r="L25" s="5">
        <f>-PMT(Assumptions!B2/12,Assumptions!B4*12,K25)</f>
        <v/>
      </c>
      <c r="M25" s="5">
        <f>D25*Assumptions!B5/12</f>
        <v/>
      </c>
      <c r="N25" s="5">
        <f>Assumptions!B6</f>
        <v/>
      </c>
      <c r="O25" s="5">
        <f>Assumptions!B7+Assumptions!B8</f>
        <v/>
      </c>
      <c r="P25" s="5">
        <f>L25+E25+M25+N25+O25</f>
        <v/>
      </c>
      <c r="Q25" s="5" t="n">
        <v>1900</v>
      </c>
      <c r="R25" s="5">
        <f>P25-Q25</f>
        <v/>
      </c>
      <c r="V25" s="8" t="n">
        <v>2.3</v>
      </c>
      <c r="W25" t="inlineStr">
        <is>
          <t>Green</t>
        </is>
      </c>
    </row>
    <row r="26">
      <c r="A26" s="9" t="inlineStr">
        <is>
          <t>195 Thomas Burgin Pkwy Unit 212, Quincy, MA 02169</t>
        </is>
      </c>
      <c r="B26" t="inlineStr">
        <is>
          <t>Quincy</t>
        </is>
      </c>
      <c r="C26" s="7" t="inlineStr">
        <is>
          <t>https://www.zillow.com/homedetails/195-Thomas-Burgin-Pkwy-UNIT-212-Quincy-MA-02169/56587202_zpid/</t>
        </is>
      </c>
      <c r="D26" s="5" t="n">
        <v>249900</v>
      </c>
      <c r="E26" s="5" t="n">
        <v>345</v>
      </c>
      <c r="F26" t="inlineStr">
        <is>
          <t>?bd/1.0ba</t>
        </is>
      </c>
      <c r="G26" s="4" t="n">
        <v>355</v>
      </c>
      <c r="H26" t="inlineStr">
        <is>
          <t>No</t>
        </is>
      </c>
      <c r="I26" t="inlineStr">
        <is>
          <t>None listed</t>
        </is>
      </c>
      <c r="J26" s="5">
        <f>D26*Assumptions!B3</f>
        <v/>
      </c>
      <c r="K26" s="5">
        <f>D26-J26</f>
        <v/>
      </c>
      <c r="L26" s="5">
        <f>-PMT(Assumptions!B2/12,Assumptions!B4*12,K26)</f>
        <v/>
      </c>
      <c r="M26" s="5">
        <f>D26*Assumptions!B5/12</f>
        <v/>
      </c>
      <c r="N26" s="5">
        <f>Assumptions!B6</f>
        <v/>
      </c>
      <c r="O26" s="5">
        <f>Assumptions!B7+Assumptions!B8</f>
        <v/>
      </c>
      <c r="P26" s="5">
        <f>L26+E26+M26+N26+O26</f>
        <v/>
      </c>
      <c r="Q26" s="5" t="n">
        <v>988</v>
      </c>
      <c r="R26" s="5">
        <f>P26-Q26</f>
        <v/>
      </c>
      <c r="V26" s="8" t="n">
        <v>2.25</v>
      </c>
      <c r="W26" t="inlineStr">
        <is>
          <t>Yellow</t>
        </is>
      </c>
    </row>
    <row r="27">
      <c r="A27" s="9" t="inlineStr">
        <is>
          <t>14-16 Cottage Pl, West Newton, MA 02465</t>
        </is>
      </c>
      <c r="B27" t="inlineStr">
        <is>
          <t>Newton</t>
        </is>
      </c>
      <c r="C27" s="7" t="inlineStr">
        <is>
          <t>https://www.zillow.com/homedetails/14-16-Cottage-Pl-West-Newton-MA-02465/2062072214_zpid/</t>
        </is>
      </c>
      <c r="D27" s="5" t="n">
        <v>549950</v>
      </c>
      <c r="E27" s="5" t="n">
        <v>0</v>
      </c>
      <c r="F27" t="inlineStr">
        <is>
          <t>2bd/1.0ba</t>
        </is>
      </c>
      <c r="G27" s="4" t="n">
        <v>874</v>
      </c>
      <c r="H27" t="inlineStr">
        <is>
          <t>No</t>
        </is>
      </c>
      <c r="I27" t="inlineStr">
        <is>
          <t>Off Street</t>
        </is>
      </c>
      <c r="J27" s="5">
        <f>D27*Assumptions!B3</f>
        <v/>
      </c>
      <c r="K27" s="5">
        <f>D27-J27</f>
        <v/>
      </c>
      <c r="L27" s="5">
        <f>-PMT(Assumptions!B2/12,Assumptions!B4*12,K27)</f>
        <v/>
      </c>
      <c r="M27" s="5">
        <f>D27*Assumptions!B5/12</f>
        <v/>
      </c>
      <c r="N27" s="5">
        <f>Assumptions!B6</f>
        <v/>
      </c>
      <c r="O27" s="5">
        <f>Assumptions!B7+Assumptions!B8</f>
        <v/>
      </c>
      <c r="P27" s="5">
        <f>L27+E27+M27+N27+O27</f>
        <v/>
      </c>
      <c r="Q27" s="5" t="n">
        <v>2134</v>
      </c>
      <c r="R27" s="5">
        <f>P27-Q27</f>
        <v/>
      </c>
      <c r="S27" t="n">
        <v>4.8</v>
      </c>
      <c r="T27" t="n">
        <v>17.4</v>
      </c>
      <c r="U27" t="n">
        <v>17.9</v>
      </c>
      <c r="V27" s="8" t="n">
        <v>2.25</v>
      </c>
      <c r="W27" t="inlineStr">
        <is>
          <t>Yellow</t>
        </is>
      </c>
    </row>
    <row r="28">
      <c r="A28" s="9" t="inlineStr">
        <is>
          <t>10 Hammond Pond Pkwy APT 606, Newton, MA 02467</t>
        </is>
      </c>
      <c r="B28" t="inlineStr">
        <is>
          <t>Newton</t>
        </is>
      </c>
      <c r="C28" s="7" t="inlineStr">
        <is>
          <t>https://www.zillow.com/homedetails/10-Hammond-Pond-Pkwy-APT-606-Newton-MA-02467/56321646_zpid/</t>
        </is>
      </c>
      <c r="D28" s="5" t="n">
        <v>350000</v>
      </c>
      <c r="E28" s="5" t="n">
        <v>459</v>
      </c>
      <c r="F28" t="inlineStr">
        <is>
          <t>?bd/1.0ba</t>
        </is>
      </c>
      <c r="G28" s="4" t="n">
        <v>508</v>
      </c>
      <c r="H28" t="inlineStr">
        <is>
          <t>No</t>
        </is>
      </c>
      <c r="I28" t="inlineStr">
        <is>
          <t>Carport, Storage, Deeded</t>
        </is>
      </c>
      <c r="J28" s="5">
        <f>D28*Assumptions!B3</f>
        <v/>
      </c>
      <c r="K28" s="5">
        <f>D28-J28</f>
        <v/>
      </c>
      <c r="L28" s="5">
        <f>-PMT(Assumptions!B2/12,Assumptions!B4*12,K28)</f>
        <v/>
      </c>
      <c r="M28" s="5">
        <f>D28*Assumptions!B5/12</f>
        <v/>
      </c>
      <c r="N28" s="5">
        <f>Assumptions!B6</f>
        <v/>
      </c>
      <c r="O28" s="5">
        <f>Assumptions!B7+Assumptions!B8</f>
        <v/>
      </c>
      <c r="P28" s="5">
        <f>L28+E28+M28+N28+O28</f>
        <v/>
      </c>
      <c r="Q28" s="5" t="n">
        <v>1398</v>
      </c>
      <c r="R28" s="5">
        <f>P28-Q28</f>
        <v/>
      </c>
      <c r="V28" s="8" t="n">
        <v>2.25</v>
      </c>
      <c r="W28" t="inlineStr">
        <is>
          <t>Yellow</t>
        </is>
      </c>
    </row>
    <row r="29">
      <c r="A29" s="9" t="inlineStr">
        <is>
          <t>1151 Walnut St #207, Newton Highlands, MA 02461</t>
        </is>
      </c>
      <c r="B29" t="inlineStr">
        <is>
          <t>Newton</t>
        </is>
      </c>
      <c r="C29" s="7" t="inlineStr">
        <is>
          <t>https://www.zillow.com/homedetails/1151-Walnut-St-207-Newton-Highlands-MA-02461/457256057_zpid/</t>
        </is>
      </c>
      <c r="D29" s="5" t="n">
        <v>450000</v>
      </c>
      <c r="E29" s="5" t="n">
        <v>165</v>
      </c>
      <c r="F29" t="inlineStr">
        <is>
          <t>?bd/1.0ba</t>
        </is>
      </c>
      <c r="G29" s="4" t="n">
        <v>455</v>
      </c>
      <c r="H29" t="inlineStr">
        <is>
          <t>No</t>
        </is>
      </c>
      <c r="I29" t="inlineStr">
        <is>
          <t>Under, Assigned, Off Street</t>
        </is>
      </c>
      <c r="J29" s="5">
        <f>D29*Assumptions!B3</f>
        <v/>
      </c>
      <c r="K29" s="5">
        <f>D29-J29</f>
        <v/>
      </c>
      <c r="L29" s="5">
        <f>-PMT(Assumptions!B2/12,Assumptions!B4*12,K29)</f>
        <v/>
      </c>
      <c r="M29" s="5">
        <f>D29*Assumptions!B5/12</f>
        <v/>
      </c>
      <c r="N29" s="5">
        <f>Assumptions!B6</f>
        <v/>
      </c>
      <c r="O29" s="5">
        <f>Assumptions!B7+Assumptions!B8</f>
        <v/>
      </c>
      <c r="P29" s="5">
        <f>L29+E29+M29+N29+O29</f>
        <v/>
      </c>
      <c r="Q29" s="5" t="n">
        <v>2200</v>
      </c>
      <c r="R29" s="5">
        <f>P29-Q29</f>
        <v/>
      </c>
      <c r="V29" s="8" t="n">
        <v>2.25</v>
      </c>
      <c r="W29" t="inlineStr">
        <is>
          <t>Yellow</t>
        </is>
      </c>
    </row>
    <row r="30">
      <c r="A30" s="9" t="inlineStr">
        <is>
          <t>1151 Walnut St #304, Newton Highlands, MA 02461</t>
        </is>
      </c>
      <c r="B30" t="inlineStr">
        <is>
          <t>Newton</t>
        </is>
      </c>
      <c r="C30" s="7" t="inlineStr">
        <is>
          <t>https://www.zillow.com/homedetails/1151-Walnut-St-304-Newton-Highlands-MA-02461/459913262_zpid/</t>
        </is>
      </c>
      <c r="D30" s="5" t="n">
        <v>495000</v>
      </c>
      <c r="E30" s="5" t="n">
        <v>197</v>
      </c>
      <c r="F30" t="inlineStr">
        <is>
          <t>?bd/1.0ba</t>
        </is>
      </c>
      <c r="G30" s="4" t="n">
        <v>511</v>
      </c>
      <c r="H30" t="inlineStr">
        <is>
          <t>No</t>
        </is>
      </c>
      <c r="I30" t="inlineStr">
        <is>
          <t>Under, Assigned, Off Street</t>
        </is>
      </c>
      <c r="J30" s="5">
        <f>D30*Assumptions!B3</f>
        <v/>
      </c>
      <c r="K30" s="5">
        <f>D30-J30</f>
        <v/>
      </c>
      <c r="L30" s="5">
        <f>-PMT(Assumptions!B2/12,Assumptions!B4*12,K30)</f>
        <v/>
      </c>
      <c r="M30" s="5">
        <f>D30*Assumptions!B5/12</f>
        <v/>
      </c>
      <c r="N30" s="5">
        <f>Assumptions!B6</f>
        <v/>
      </c>
      <c r="O30" s="5">
        <f>Assumptions!B7+Assumptions!B8</f>
        <v/>
      </c>
      <c r="P30" s="5">
        <f>L30+E30+M30+N30+O30</f>
        <v/>
      </c>
      <c r="Q30" s="5" t="n">
        <v>2200</v>
      </c>
      <c r="R30" s="5">
        <f>P30-Q30</f>
        <v/>
      </c>
      <c r="V30" s="8" t="n">
        <v>2.25</v>
      </c>
      <c r="W30" t="inlineStr">
        <is>
          <t>Yellow</t>
        </is>
      </c>
    </row>
    <row r="31">
      <c r="A31" s="9" t="inlineStr">
        <is>
          <t>88 Gordon St APT 305, Brighton, MA 02135</t>
        </is>
      </c>
      <c r="B31" t="inlineStr">
        <is>
          <t>Brighton</t>
        </is>
      </c>
      <c r="C31" s="7" t="inlineStr">
        <is>
          <t>https://www.zillow.com/homedetails/88-Gordon-St-APT-305-Brighton-MA-02135/59091169_zpid/</t>
        </is>
      </c>
      <c r="D31" s="5" t="n">
        <v>299000</v>
      </c>
      <c r="E31" s="5" t="n">
        <v>292</v>
      </c>
      <c r="F31" t="inlineStr">
        <is>
          <t>1bd/1.0ba</t>
        </is>
      </c>
      <c r="G31" s="4" t="n">
        <v>283</v>
      </c>
      <c r="H31" t="inlineStr">
        <is>
          <t>No</t>
        </is>
      </c>
      <c r="I31" t="inlineStr">
        <is>
          <t>None listed</t>
        </is>
      </c>
      <c r="J31" s="5">
        <f>D31*Assumptions!B3</f>
        <v/>
      </c>
      <c r="K31" s="5">
        <f>D31-J31</f>
        <v/>
      </c>
      <c r="L31" s="5">
        <f>-PMT(Assumptions!B2/12,Assumptions!B4*12,K31)</f>
        <v/>
      </c>
      <c r="M31" s="5">
        <f>D31*Assumptions!B5/12</f>
        <v/>
      </c>
      <c r="N31" s="5">
        <f>Assumptions!B6</f>
        <v/>
      </c>
      <c r="O31" s="5">
        <f>Assumptions!B7+Assumptions!B8</f>
        <v/>
      </c>
      <c r="P31" s="5">
        <f>L31+E31+M31+N31+O31</f>
        <v/>
      </c>
      <c r="Q31" s="5" t="n">
        <v>1655</v>
      </c>
      <c r="R31" s="5">
        <f>P31-Q31</f>
        <v/>
      </c>
      <c r="V31" s="8" t="n">
        <v>2.25</v>
      </c>
      <c r="W31" t="inlineStr">
        <is>
          <t>Yellow</t>
        </is>
      </c>
    </row>
    <row r="32">
      <c r="A32" s="9" t="inlineStr">
        <is>
          <t>198 Allston St #3, Allston, MA 02134</t>
        </is>
      </c>
      <c r="B32" t="inlineStr">
        <is>
          <t>Brighton</t>
        </is>
      </c>
      <c r="C32" s="7" t="inlineStr">
        <is>
          <t>https://www.zillow.com/homedetails/198-Allston-St-3-Allston-MA-02134/440796556_zpid/</t>
        </is>
      </c>
      <c r="D32" s="5" t="n">
        <v>270000</v>
      </c>
      <c r="E32" s="5" t="n">
        <v>295</v>
      </c>
      <c r="F32" t="inlineStr">
        <is>
          <t>1bd/1.0ba</t>
        </is>
      </c>
      <c r="G32" s="4" t="n">
        <v>318</v>
      </c>
      <c r="H32" t="inlineStr">
        <is>
          <t>No</t>
        </is>
      </c>
      <c r="I32" t="inlineStr">
        <is>
          <t>None listed</t>
        </is>
      </c>
      <c r="J32" s="5">
        <f>D32*Assumptions!B3</f>
        <v/>
      </c>
      <c r="K32" s="5">
        <f>D32-J32</f>
        <v/>
      </c>
      <c r="L32" s="5">
        <f>-PMT(Assumptions!B2/12,Assumptions!B4*12,K32)</f>
        <v/>
      </c>
      <c r="M32" s="5">
        <f>D32*Assumptions!B5/12</f>
        <v/>
      </c>
      <c r="N32" s="5">
        <f>Assumptions!B6</f>
        <v/>
      </c>
      <c r="O32" s="5">
        <f>Assumptions!B7+Assumptions!B8</f>
        <v/>
      </c>
      <c r="P32" s="5">
        <f>L32+E32+M32+N32+O32</f>
        <v/>
      </c>
      <c r="Q32" s="5" t="n">
        <v>2000</v>
      </c>
      <c r="R32" s="5">
        <f>P32-Q32</f>
        <v/>
      </c>
      <c r="V32" s="8" t="n">
        <v>2.25</v>
      </c>
      <c r="W32" t="inlineStr">
        <is>
          <t>Yellow</t>
        </is>
      </c>
    </row>
    <row r="33">
      <c r="A33" s="9" t="inlineStr">
        <is>
          <t>15 Commonwealth Ct APT 10, Brighton, MA 02135</t>
        </is>
      </c>
      <c r="B33" t="inlineStr">
        <is>
          <t>Brighton</t>
        </is>
      </c>
      <c r="C33" s="7" t="inlineStr">
        <is>
          <t>https://www.zillow.com/homedetails/15-Commonwealth-Ct-APT-10-Brighton-MA-02135/59091656_zpid/</t>
        </is>
      </c>
      <c r="D33" s="5" t="n">
        <v>379900</v>
      </c>
      <c r="E33" s="5" t="n">
        <v>500</v>
      </c>
      <c r="F33" t="inlineStr">
        <is>
          <t>1bd/1.0ba</t>
        </is>
      </c>
      <c r="G33" s="4" t="n">
        <v>688</v>
      </c>
      <c r="H33" t="inlineStr">
        <is>
          <t>No</t>
        </is>
      </c>
      <c r="I33" t="inlineStr">
        <is>
          <t>Off Street, Deeded</t>
        </is>
      </c>
      <c r="J33" s="5">
        <f>D33*Assumptions!B3</f>
        <v/>
      </c>
      <c r="K33" s="5">
        <f>D33-J33</f>
        <v/>
      </c>
      <c r="L33" s="5">
        <f>-PMT(Assumptions!B2/12,Assumptions!B4*12,K33)</f>
        <v/>
      </c>
      <c r="M33" s="5">
        <f>D33*Assumptions!B5/12</f>
        <v/>
      </c>
      <c r="N33" s="5">
        <f>Assumptions!B6</f>
        <v/>
      </c>
      <c r="O33" s="5">
        <f>Assumptions!B7+Assumptions!B8</f>
        <v/>
      </c>
      <c r="P33" s="5">
        <f>L33+E33+M33+N33+O33</f>
        <v/>
      </c>
      <c r="Q33" s="5" t="n">
        <v>1601</v>
      </c>
      <c r="R33" s="5">
        <f>P33-Q33</f>
        <v/>
      </c>
      <c r="V33" s="8" t="n">
        <v>2.25</v>
      </c>
      <c r="W33" t="inlineStr">
        <is>
          <t>Yellow</t>
        </is>
      </c>
    </row>
    <row r="34">
      <c r="A34" s="9" t="inlineStr">
        <is>
          <t>1564 Commonwealth Ave APT 3, Brighton, MA 02135</t>
        </is>
      </c>
      <c r="B34" t="inlineStr">
        <is>
          <t>Brighton</t>
        </is>
      </c>
      <c r="C34" s="7" t="inlineStr">
        <is>
          <t>https://www.zillow.com/homedetails/1564-Commonwealth-Ave-APT-3-Brighton-MA-02135/59092148_zpid/</t>
        </is>
      </c>
      <c r="D34" s="5" t="n">
        <v>315000</v>
      </c>
      <c r="E34" s="5" t="n">
        <v>370</v>
      </c>
      <c r="F34" t="inlineStr">
        <is>
          <t>?bd/1.0ba</t>
        </is>
      </c>
      <c r="G34" s="4" t="n">
        <v>306</v>
      </c>
      <c r="H34" t="inlineStr">
        <is>
          <t>No</t>
        </is>
      </c>
      <c r="I34" t="inlineStr">
        <is>
          <t>None listed</t>
        </is>
      </c>
      <c r="J34" s="5">
        <f>D34*Assumptions!B3</f>
        <v/>
      </c>
      <c r="K34" s="5">
        <f>D34-J34</f>
        <v/>
      </c>
      <c r="L34" s="5">
        <f>-PMT(Assumptions!B2/12,Assumptions!B4*12,K34)</f>
        <v/>
      </c>
      <c r="M34" s="5">
        <f>D34*Assumptions!B5/12</f>
        <v/>
      </c>
      <c r="N34" s="5">
        <f>Assumptions!B6</f>
        <v/>
      </c>
      <c r="O34" s="5">
        <f>Assumptions!B7+Assumptions!B8</f>
        <v/>
      </c>
      <c r="P34" s="5">
        <f>L34+E34+M34+N34+O34</f>
        <v/>
      </c>
      <c r="Q34" s="5" t="n">
        <v>1144</v>
      </c>
      <c r="R34" s="5">
        <f>P34-Q34</f>
        <v/>
      </c>
      <c r="V34" s="8" t="n">
        <v>2.25</v>
      </c>
      <c r="W34" t="inlineStr">
        <is>
          <t>Yellow</t>
        </is>
      </c>
    </row>
    <row r="35">
      <c r="A35" s="9" t="inlineStr">
        <is>
          <t>77 Pond Avenue #1103, Brookline, MA 02445</t>
        </is>
      </c>
      <c r="B35" t="inlineStr">
        <is>
          <t>Brookline</t>
        </is>
      </c>
      <c r="C35" s="7" t="inlineStr">
        <is>
          <t>https://www.zillow.com/homedetails/77-Pond-Ave-APT-1103-Brookline-MA-02445/56571183_zpid/</t>
        </is>
      </c>
      <c r="D35" s="5" t="n">
        <v>489900</v>
      </c>
      <c r="E35" s="5" t="n">
        <v>0</v>
      </c>
      <c r="F35" t="inlineStr">
        <is>
          <t>1bd/1.0ba</t>
        </is>
      </c>
      <c r="G35" s="4" t="n">
        <v>860</v>
      </c>
      <c r="H35" t="inlineStr">
        <is>
          <t>No</t>
        </is>
      </c>
      <c r="I35" t="inlineStr">
        <is>
          <t>Unknown</t>
        </is>
      </c>
      <c r="J35" s="5">
        <f>D35*Assumptions!B3</f>
        <v/>
      </c>
      <c r="K35" s="5">
        <f>D35-J35</f>
        <v/>
      </c>
      <c r="L35" s="5">
        <f>-PMT(Assumptions!B2/12,Assumptions!B4*12,K35)</f>
        <v/>
      </c>
      <c r="M35" s="5">
        <f>D35*Assumptions!B5/12</f>
        <v/>
      </c>
      <c r="N35" s="5">
        <f>Assumptions!B6</f>
        <v/>
      </c>
      <c r="O35" s="5">
        <f>Assumptions!B7+Assumptions!B8</f>
        <v/>
      </c>
      <c r="P35" s="5">
        <f>L35+E35+M35+N35+O35</f>
        <v/>
      </c>
      <c r="Q35" s="5" t="n">
        <v>2400</v>
      </c>
      <c r="R35" s="5">
        <f>P35-Q35</f>
        <v/>
      </c>
      <c r="V35" s="8" t="n">
        <v>2.25</v>
      </c>
      <c r="W35" t="inlineStr">
        <is>
          <t>Yellow</t>
        </is>
      </c>
    </row>
    <row r="36">
      <c r="A36" s="9" t="inlineStr">
        <is>
          <t>217-221 Highland Ave Unit 1, Malden, MA 02148</t>
        </is>
      </c>
      <c r="B36" t="inlineStr">
        <is>
          <t>Medford</t>
        </is>
      </c>
      <c r="C36" s="7" t="inlineStr">
        <is>
          <t>https://www.zillow.com/homedetails/217-221-Highland-Ave-UNIT-1-Malden-MA-02148/459672098_zpid/</t>
        </is>
      </c>
      <c r="D36" s="5" t="n">
        <v>499900</v>
      </c>
      <c r="E36" s="5" t="n">
        <v>390</v>
      </c>
      <c r="F36" t="inlineStr">
        <is>
          <t>3bd/2.0ba</t>
        </is>
      </c>
      <c r="G36" s="4" t="n">
        <v>1183</v>
      </c>
      <c r="H36" t="inlineStr">
        <is>
          <t>No</t>
        </is>
      </c>
      <c r="I36" t="inlineStr">
        <is>
          <t>On Street, Assigned, Paved, Exclusive Parking</t>
        </is>
      </c>
      <c r="J36" s="5">
        <f>D36*Assumptions!B3</f>
        <v/>
      </c>
      <c r="K36" s="5">
        <f>D36-J36</f>
        <v/>
      </c>
      <c r="L36" s="5">
        <f>-PMT(Assumptions!B2/12,Assumptions!B4*12,K36)</f>
        <v/>
      </c>
      <c r="M36" s="5">
        <f>D36*Assumptions!B5/12</f>
        <v/>
      </c>
      <c r="N36" s="5">
        <f>Assumptions!B6</f>
        <v/>
      </c>
      <c r="O36" s="5">
        <f>Assumptions!B7+Assumptions!B8</f>
        <v/>
      </c>
      <c r="P36" s="5">
        <f>L36+E36+M36+N36+O36</f>
        <v/>
      </c>
      <c r="Q36" s="5" t="n">
        <v>1900</v>
      </c>
      <c r="R36" s="5">
        <f>P36-Q36</f>
        <v/>
      </c>
      <c r="V36" s="8" t="n">
        <v>2.25</v>
      </c>
      <c r="W36" t="inlineStr">
        <is>
          <t>Yellow</t>
        </is>
      </c>
    </row>
    <row r="37">
      <c r="A37" s="9" t="inlineStr">
        <is>
          <t>24 South St APT 38, Medford, MA 02155</t>
        </is>
      </c>
      <c r="B37" t="inlineStr">
        <is>
          <t>Medford</t>
        </is>
      </c>
      <c r="C37" s="7" t="inlineStr">
        <is>
          <t>https://www.zillow.com/homedetails/24-South-St-APT-38-Medford-MA-02155/56281218_zpid/</t>
        </is>
      </c>
      <c r="D37" s="5" t="n">
        <v>449900</v>
      </c>
      <c r="E37" s="5" t="n">
        <v>0</v>
      </c>
      <c r="F37" t="inlineStr">
        <is>
          <t>1bd/2.0ba</t>
        </is>
      </c>
      <c r="G37" s="4" t="n">
        <v>757</v>
      </c>
      <c r="H37" t="inlineStr">
        <is>
          <t>No</t>
        </is>
      </c>
      <c r="I37" t="inlineStr">
        <is>
          <t>Unknown</t>
        </is>
      </c>
      <c r="J37" s="5">
        <f>D37*Assumptions!B3</f>
        <v/>
      </c>
      <c r="K37" s="5">
        <f>D37-J37</f>
        <v/>
      </c>
      <c r="L37" s="5">
        <f>-PMT(Assumptions!B2/12,Assumptions!B4*12,K37)</f>
        <v/>
      </c>
      <c r="M37" s="5">
        <f>D37*Assumptions!B5/12</f>
        <v/>
      </c>
      <c r="N37" s="5">
        <f>Assumptions!B6</f>
        <v/>
      </c>
      <c r="O37" s="5">
        <f>Assumptions!B7+Assumptions!B8</f>
        <v/>
      </c>
      <c r="P37" s="5">
        <f>L37+E37+M37+N37+O37</f>
        <v/>
      </c>
      <c r="Q37" s="5" t="n">
        <v>1900</v>
      </c>
      <c r="R37" s="5">
        <f>P37-Q37</f>
        <v/>
      </c>
      <c r="V37" s="8" t="n">
        <v>2.25</v>
      </c>
      <c r="W37" t="inlineStr">
        <is>
          <t>Yellow</t>
        </is>
      </c>
    </row>
    <row r="38">
      <c r="A38" s="9" t="inlineStr">
        <is>
          <t>80 Main St APT 4, Malden, MA 02148</t>
        </is>
      </c>
      <c r="B38" t="inlineStr">
        <is>
          <t>Medford</t>
        </is>
      </c>
      <c r="C38" s="7" t="inlineStr">
        <is>
          <t>https://www.zillow.com/homedetails/80-Main-St-APT-4-Malden-MA-02148/56268453_zpid/</t>
        </is>
      </c>
      <c r="D38" s="5" t="n">
        <v>335000</v>
      </c>
      <c r="E38" s="5" t="n">
        <v>430</v>
      </c>
      <c r="F38" t="inlineStr">
        <is>
          <t>1bd/1.0ba</t>
        </is>
      </c>
      <c r="G38" s="4" t="n">
        <v>578</v>
      </c>
      <c r="H38" t="inlineStr">
        <is>
          <t>No</t>
        </is>
      </c>
      <c r="I38" t="inlineStr">
        <is>
          <t>Off Street</t>
        </is>
      </c>
      <c r="J38" s="5">
        <f>D38*Assumptions!B3</f>
        <v/>
      </c>
      <c r="K38" s="5">
        <f>D38-J38</f>
        <v/>
      </c>
      <c r="L38" s="5">
        <f>-PMT(Assumptions!B2/12,Assumptions!B4*12,K38)</f>
        <v/>
      </c>
      <c r="M38" s="5">
        <f>D38*Assumptions!B5/12</f>
        <v/>
      </c>
      <c r="N38" s="5">
        <f>Assumptions!B6</f>
        <v/>
      </c>
      <c r="O38" s="5">
        <f>Assumptions!B7+Assumptions!B8</f>
        <v/>
      </c>
      <c r="P38" s="5">
        <f>L38+E38+M38+N38+O38</f>
        <v/>
      </c>
      <c r="Q38" s="5" t="n">
        <v>1293</v>
      </c>
      <c r="R38" s="5">
        <f>P38-Q38</f>
        <v/>
      </c>
      <c r="V38" s="8" t="n">
        <v>2.25</v>
      </c>
      <c r="W38" t="inlineStr">
        <is>
          <t>Yellow</t>
        </is>
      </c>
    </row>
    <row r="39">
      <c r="A39" s="9" t="inlineStr">
        <is>
          <t>80 Main St APT 9, Malden, MA 02148</t>
        </is>
      </c>
      <c r="B39" t="inlineStr">
        <is>
          <t>Medford</t>
        </is>
      </c>
      <c r="C39" s="7" t="inlineStr">
        <is>
          <t>https://www.zillow.com/homedetails/80-Main-St-APT-9-Malden-MA-02148/56268458_zpid/</t>
        </is>
      </c>
      <c r="D39" s="5" t="n">
        <v>359900</v>
      </c>
      <c r="E39" s="5" t="n">
        <v>426</v>
      </c>
      <c r="F39" t="inlineStr">
        <is>
          <t>1bd/1.0ba</t>
        </is>
      </c>
      <c r="G39" s="4" t="n">
        <v>605</v>
      </c>
      <c r="H39" t="inlineStr">
        <is>
          <t>No</t>
        </is>
      </c>
      <c r="I39" t="inlineStr">
        <is>
          <t>Off Street</t>
        </is>
      </c>
      <c r="J39" s="5">
        <f>D39*Assumptions!B3</f>
        <v/>
      </c>
      <c r="K39" s="5">
        <f>D39-J39</f>
        <v/>
      </c>
      <c r="L39" s="5">
        <f>-PMT(Assumptions!B2/12,Assumptions!B4*12,K39)</f>
        <v/>
      </c>
      <c r="M39" s="5">
        <f>D39*Assumptions!B5/12</f>
        <v/>
      </c>
      <c r="N39" s="5">
        <f>Assumptions!B6</f>
        <v/>
      </c>
      <c r="O39" s="5">
        <f>Assumptions!B7+Assumptions!B8</f>
        <v/>
      </c>
      <c r="P39" s="5">
        <f>L39+E39+M39+N39+O39</f>
        <v/>
      </c>
      <c r="Q39" s="5" t="n">
        <v>1276</v>
      </c>
      <c r="R39" s="5">
        <f>P39-Q39</f>
        <v/>
      </c>
      <c r="V39" s="8" t="n">
        <v>2.25</v>
      </c>
      <c r="W39" t="inlineStr">
        <is>
          <t>Yellow</t>
        </is>
      </c>
    </row>
    <row r="40">
      <c r="A40" s="9" t="inlineStr">
        <is>
          <t>100 Washington St APT 3, Brighton, MA 02135</t>
        </is>
      </c>
      <c r="B40" t="inlineStr">
        <is>
          <t>Brighton</t>
        </is>
      </c>
      <c r="C40" s="7" t="inlineStr">
        <is>
          <t>https://www.zillow.com/homedetails/100-Washington-St-APT-3-Brighton-MA-02135/59092287_zpid/</t>
        </is>
      </c>
      <c r="D40" s="5" t="n">
        <v>449000</v>
      </c>
      <c r="E40" s="5" t="n">
        <v>0</v>
      </c>
      <c r="F40" t="inlineStr">
        <is>
          <t>1bd/1.0ba</t>
        </is>
      </c>
      <c r="G40" s="4" t="n">
        <v>682</v>
      </c>
      <c r="H40" t="inlineStr">
        <is>
          <t>No</t>
        </is>
      </c>
      <c r="I40" t="inlineStr">
        <is>
          <t>Unknown</t>
        </is>
      </c>
      <c r="J40" s="5">
        <f>D40*Assumptions!B3</f>
        <v/>
      </c>
      <c r="K40" s="5">
        <f>D40-J40</f>
        <v/>
      </c>
      <c r="L40" s="5">
        <f>-PMT(Assumptions!B2/12,Assumptions!B4*12,K40)</f>
        <v/>
      </c>
      <c r="M40" s="5">
        <f>D40*Assumptions!B5/12</f>
        <v/>
      </c>
      <c r="N40" s="5">
        <f>Assumptions!B6</f>
        <v/>
      </c>
      <c r="O40" s="5">
        <f>Assumptions!B7+Assumptions!B8</f>
        <v/>
      </c>
      <c r="P40" s="5">
        <f>L40+E40+M40+N40+O40</f>
        <v/>
      </c>
      <c r="Q40" s="5" t="n">
        <v>2000</v>
      </c>
      <c r="R40" s="5">
        <f>P40-Q40</f>
        <v/>
      </c>
      <c r="V40" s="8" t="n">
        <v>2.2</v>
      </c>
      <c r="W40" t="inlineStr">
        <is>
          <t>Yellow</t>
        </is>
      </c>
    </row>
    <row r="41">
      <c r="A41" s="9" t="inlineStr">
        <is>
          <t>17 Buckingham St #3, Somerville, MA 02143</t>
        </is>
      </c>
      <c r="B41" t="inlineStr">
        <is>
          <t>Cambridge</t>
        </is>
      </c>
      <c r="C41" s="7" t="inlineStr">
        <is>
          <t>https://www.zillow.com/homedetails/17-Buckingham-St-3-Somerville-MA-02143/2106999481_zpid/</t>
        </is>
      </c>
      <c r="D41" s="5" t="n">
        <v>499999</v>
      </c>
      <c r="E41" s="5" t="n">
        <v>0</v>
      </c>
      <c r="F41" t="inlineStr">
        <is>
          <t>1bd/1.0ba</t>
        </is>
      </c>
      <c r="G41" s="4" t="n">
        <v>595</v>
      </c>
      <c r="H41" t="inlineStr">
        <is>
          <t>No</t>
        </is>
      </c>
      <c r="I41" t="inlineStr">
        <is>
          <t>Unknown</t>
        </is>
      </c>
      <c r="J41" s="5">
        <f>D41*Assumptions!B3</f>
        <v/>
      </c>
      <c r="K41" s="5">
        <f>D41-J41</f>
        <v/>
      </c>
      <c r="L41" s="5">
        <f>-PMT(Assumptions!B2/12,Assumptions!B4*12,K41)</f>
        <v/>
      </c>
      <c r="M41" s="5">
        <f>D41*Assumptions!B5/12</f>
        <v/>
      </c>
      <c r="N41" s="5">
        <f>Assumptions!B6</f>
        <v/>
      </c>
      <c r="O41" s="5">
        <f>Assumptions!B7+Assumptions!B8</f>
        <v/>
      </c>
      <c r="P41" s="5">
        <f>L41+E41+M41+N41+O41</f>
        <v/>
      </c>
      <c r="Q41" s="5" t="n">
        <v>2500</v>
      </c>
      <c r="R41" s="5">
        <f>P41-Q41</f>
        <v/>
      </c>
      <c r="V41" s="8" t="n">
        <v>2.2</v>
      </c>
      <c r="W41" t="inlineStr">
        <is>
          <t>Yellow</t>
        </is>
      </c>
    </row>
    <row r="42">
      <c r="A42" s="9" t="inlineStr">
        <is>
          <t>20 Whitney #U-1, Quincy, MA 02169</t>
        </is>
      </c>
      <c r="B42" t="inlineStr">
        <is>
          <t>Quincy</t>
        </is>
      </c>
      <c r="C42" s="7" t="inlineStr">
        <is>
          <t>https://www.zillow.com/homedetails/20-Whitney-U-1-Quincy-MA-02169/460043102_zpid/</t>
        </is>
      </c>
      <c r="D42" s="5" t="n">
        <v>499000</v>
      </c>
      <c r="E42" s="5" t="n">
        <v>200</v>
      </c>
      <c r="F42" t="inlineStr">
        <is>
          <t>1bd/1.0ba</t>
        </is>
      </c>
      <c r="G42" s="4" t="n">
        <v>638</v>
      </c>
      <c r="H42" t="inlineStr">
        <is>
          <t>No</t>
        </is>
      </c>
      <c r="I42" t="inlineStr">
        <is>
          <t>None listed</t>
        </is>
      </c>
      <c r="J42" s="5">
        <f>D42*Assumptions!B3</f>
        <v/>
      </c>
      <c r="K42" s="5">
        <f>D42-J42</f>
        <v/>
      </c>
      <c r="L42" s="5">
        <f>-PMT(Assumptions!B2/12,Assumptions!B4*12,K42)</f>
        <v/>
      </c>
      <c r="M42" s="5">
        <f>D42*Assumptions!B5/12</f>
        <v/>
      </c>
      <c r="N42" s="5">
        <f>Assumptions!B6</f>
        <v/>
      </c>
      <c r="O42" s="5">
        <f>Assumptions!B7+Assumptions!B8</f>
        <v/>
      </c>
      <c r="P42" s="5">
        <f>L42+E42+M42+N42+O42</f>
        <v/>
      </c>
      <c r="Q42" s="5" t="n">
        <v>1800</v>
      </c>
      <c r="R42" s="5">
        <f>P42-Q42</f>
        <v/>
      </c>
      <c r="V42" s="8" t="n">
        <v>2.15</v>
      </c>
      <c r="W42" t="inlineStr">
        <is>
          <t>Yellow</t>
        </is>
      </c>
    </row>
    <row r="43">
      <c r="A43" s="9" t="inlineStr">
        <is>
          <t>21 Totman St Suite 203, Quincy, MA 02169</t>
        </is>
      </c>
      <c r="B43" t="inlineStr">
        <is>
          <t>Quincy</t>
        </is>
      </c>
      <c r="C43" s="7" t="inlineStr">
        <is>
          <t>https://www.zillow.com/homedetails/21-Totman-St-SUITE-203-Quincy-MA-02169/458714573_zpid/</t>
        </is>
      </c>
      <c r="D43" s="5" t="n">
        <v>474900</v>
      </c>
      <c r="E43" s="5" t="n">
        <v>312</v>
      </c>
      <c r="F43" t="inlineStr">
        <is>
          <t>1bd/1.0ba</t>
        </is>
      </c>
      <c r="G43" s="4" t="n">
        <v>679</v>
      </c>
      <c r="H43" t="inlineStr">
        <is>
          <t>No</t>
        </is>
      </c>
      <c r="I43" t="inlineStr">
        <is>
          <t>Under, Garage Door Opener, Deeded, Assigned, Garage Faces Side, Off Street, Available for Purchase, Paved</t>
        </is>
      </c>
      <c r="J43" s="5">
        <f>D43*Assumptions!B3</f>
        <v/>
      </c>
      <c r="K43" s="5">
        <f>D43-J43</f>
        <v/>
      </c>
      <c r="L43" s="5">
        <f>-PMT(Assumptions!B2/12,Assumptions!B4*12,K43)</f>
        <v/>
      </c>
      <c r="M43" s="5">
        <f>D43*Assumptions!B5/12</f>
        <v/>
      </c>
      <c r="N43" s="5">
        <f>Assumptions!B6</f>
        <v/>
      </c>
      <c r="O43" s="5">
        <f>Assumptions!B7+Assumptions!B8</f>
        <v/>
      </c>
      <c r="P43" s="5">
        <f>L43+E43+M43+N43+O43</f>
        <v/>
      </c>
      <c r="Q43" s="5" t="n">
        <v>1800</v>
      </c>
      <c r="R43" s="5">
        <f>P43-Q43</f>
        <v/>
      </c>
      <c r="V43" s="8" t="n">
        <v>2.15</v>
      </c>
      <c r="W43" t="inlineStr">
        <is>
          <t>Yellow</t>
        </is>
      </c>
    </row>
    <row r="44">
      <c r="A44" s="9" t="inlineStr">
        <is>
          <t>1691 Commonwealth Ave APT 31, Brighton, MA 02135</t>
        </is>
      </c>
      <c r="B44" t="inlineStr">
        <is>
          <t>Brighton</t>
        </is>
      </c>
      <c r="C44" s="7" t="inlineStr">
        <is>
          <t>https://www.zillow.com/homedetails/1691-Commonwealth-Ave-APT-31-Brighton-MA-02135/59092827_zpid/</t>
        </is>
      </c>
      <c r="D44" s="5" t="n">
        <v>414900</v>
      </c>
      <c r="E44" s="5" t="n">
        <v>361</v>
      </c>
      <c r="F44" t="inlineStr">
        <is>
          <t>1bd/1.0ba</t>
        </is>
      </c>
      <c r="G44" s="4" t="n">
        <v>520</v>
      </c>
      <c r="H44" t="inlineStr">
        <is>
          <t>No</t>
        </is>
      </c>
      <c r="I44" t="inlineStr">
        <is>
          <t>On Street</t>
        </is>
      </c>
      <c r="J44" s="5">
        <f>D44*Assumptions!B3</f>
        <v/>
      </c>
      <c r="K44" s="5">
        <f>D44-J44</f>
        <v/>
      </c>
      <c r="L44" s="5">
        <f>-PMT(Assumptions!B2/12,Assumptions!B4*12,K44)</f>
        <v/>
      </c>
      <c r="M44" s="5">
        <f>D44*Assumptions!B5/12</f>
        <v/>
      </c>
      <c r="N44" s="5">
        <f>Assumptions!B6</f>
        <v/>
      </c>
      <c r="O44" s="5">
        <f>Assumptions!B7+Assumptions!B8</f>
        <v/>
      </c>
      <c r="P44" s="5">
        <f>L44+E44+M44+N44+O44</f>
        <v/>
      </c>
      <c r="Q44" s="5" t="n">
        <v>1355</v>
      </c>
      <c r="R44" s="5">
        <f>P44-Q44</f>
        <v/>
      </c>
      <c r="V44" s="8" t="n">
        <v>2.15</v>
      </c>
      <c r="W44" t="inlineStr">
        <is>
          <t>Yellow</t>
        </is>
      </c>
    </row>
    <row r="45">
      <c r="A45" s="9" t="inlineStr">
        <is>
          <t>5 Waldo Ave APT 2A, Somerville, MA 02143</t>
        </is>
      </c>
      <c r="B45" t="inlineStr">
        <is>
          <t>Cambridge</t>
        </is>
      </c>
      <c r="C45" s="7" t="inlineStr">
        <is>
          <t>https://www.zillow.com/homedetails/5-Waldo-Ave-APT-2A-Somerville-MA-02143/71142493_zpid/</t>
        </is>
      </c>
      <c r="D45" s="5" t="n">
        <v>425000</v>
      </c>
      <c r="E45" s="5" t="n">
        <v>317</v>
      </c>
      <c r="F45" t="inlineStr">
        <is>
          <t>1bd/1.0ba</t>
        </is>
      </c>
      <c r="G45" s="4" t="n">
        <v>530</v>
      </c>
      <c r="H45" t="inlineStr">
        <is>
          <t>No</t>
        </is>
      </c>
      <c r="I45" t="inlineStr">
        <is>
          <t>On Street</t>
        </is>
      </c>
      <c r="J45" s="5">
        <f>D45*Assumptions!B3</f>
        <v/>
      </c>
      <c r="K45" s="5">
        <f>D45-J45</f>
        <v/>
      </c>
      <c r="L45" s="5">
        <f>-PMT(Assumptions!B2/12,Assumptions!B4*12,K45)</f>
        <v/>
      </c>
      <c r="M45" s="5">
        <f>D45*Assumptions!B5/12</f>
        <v/>
      </c>
      <c r="N45" s="5">
        <f>Assumptions!B6</f>
        <v/>
      </c>
      <c r="O45" s="5">
        <f>Assumptions!B7+Assumptions!B8</f>
        <v/>
      </c>
      <c r="P45" s="5">
        <f>L45+E45+M45+N45+O45</f>
        <v/>
      </c>
      <c r="Q45" s="5" t="n">
        <v>1644</v>
      </c>
      <c r="R45" s="5">
        <f>P45-Q45</f>
        <v/>
      </c>
      <c r="V45" s="8" t="n">
        <v>2.15</v>
      </c>
      <c r="W45" t="inlineStr">
        <is>
          <t>Yellow</t>
        </is>
      </c>
    </row>
    <row r="46">
      <c r="A46" s="9" t="inlineStr">
        <is>
          <t>6 Goodwin Pl APT B, Boston, MA 02114</t>
        </is>
      </c>
      <c r="B46" t="inlineStr">
        <is>
          <t>Cambridge</t>
        </is>
      </c>
      <c r="C46" s="7" t="inlineStr">
        <is>
          <t>https://www.zillow.com/homedetails/6-Goodwin-Pl-APT-B-Boston-MA-02114/59166441_zpid/</t>
        </is>
      </c>
      <c r="D46" s="5" t="n">
        <v>412500</v>
      </c>
      <c r="E46" s="5" t="n">
        <v>319</v>
      </c>
      <c r="F46" t="inlineStr">
        <is>
          <t>?bd/1.0ba</t>
        </is>
      </c>
      <c r="G46" s="4" t="n">
        <v>235</v>
      </c>
      <c r="H46" t="inlineStr">
        <is>
          <t>No</t>
        </is>
      </c>
      <c r="I46" t="inlineStr">
        <is>
          <t>On Street</t>
        </is>
      </c>
      <c r="J46" s="5">
        <f>D46*Assumptions!B3</f>
        <v/>
      </c>
      <c r="K46" s="5">
        <f>D46-J46</f>
        <v/>
      </c>
      <c r="L46" s="5">
        <f>-PMT(Assumptions!B2/12,Assumptions!B4*12,K46)</f>
        <v/>
      </c>
      <c r="M46" s="5">
        <f>D46*Assumptions!B5/12</f>
        <v/>
      </c>
      <c r="N46" s="5">
        <f>Assumptions!B6</f>
        <v/>
      </c>
      <c r="O46" s="5">
        <f>Assumptions!B7+Assumptions!B8</f>
        <v/>
      </c>
      <c r="P46" s="5">
        <f>L46+E46+M46+N46+O46</f>
        <v/>
      </c>
      <c r="Q46" s="5" t="n">
        <v>1426</v>
      </c>
      <c r="R46" s="5">
        <f>P46-Q46</f>
        <v/>
      </c>
      <c r="V46" s="8" t="n">
        <v>2.15</v>
      </c>
      <c r="W46" t="inlineStr">
        <is>
          <t>Yellow</t>
        </is>
      </c>
    </row>
    <row r="47">
      <c r="A47" s="9" t="inlineStr">
        <is>
          <t>144 Newton St APT 1, Brighton, MA 02135</t>
        </is>
      </c>
      <c r="B47" t="inlineStr">
        <is>
          <t>Newton</t>
        </is>
      </c>
      <c r="C47" s="7" t="inlineStr">
        <is>
          <t>https://www.zillow.com/homedetails/144-Newton-St-APT-1-Brighton-MA-02135/71505041_zpid/</t>
        </is>
      </c>
      <c r="D47" s="5" t="n">
        <v>589000</v>
      </c>
      <c r="E47" s="5" t="n">
        <v>0</v>
      </c>
      <c r="F47" t="inlineStr">
        <is>
          <t>3bd/1.0ba</t>
        </is>
      </c>
      <c r="G47" s="4" t="n">
        <v>1053</v>
      </c>
      <c r="H47" t="inlineStr">
        <is>
          <t>No</t>
        </is>
      </c>
      <c r="I47" t="inlineStr">
        <is>
          <t>Unknown</t>
        </is>
      </c>
      <c r="J47" s="5">
        <f>D47*Assumptions!B3</f>
        <v/>
      </c>
      <c r="K47" s="5">
        <f>D47-J47</f>
        <v/>
      </c>
      <c r="L47" s="5">
        <f>-PMT(Assumptions!B2/12,Assumptions!B4*12,K47)</f>
        <v/>
      </c>
      <c r="M47" s="5">
        <f>D47*Assumptions!B5/12</f>
        <v/>
      </c>
      <c r="N47" s="5">
        <f>Assumptions!B6</f>
        <v/>
      </c>
      <c r="O47" s="5">
        <f>Assumptions!B7+Assumptions!B8</f>
        <v/>
      </c>
      <c r="P47" s="5">
        <f>L47+E47+M47+N47+O47</f>
        <v/>
      </c>
      <c r="Q47" s="5" t="n">
        <v>2200</v>
      </c>
      <c r="R47" s="5">
        <f>P47-Q47</f>
        <v/>
      </c>
      <c r="V47" s="8" t="n">
        <v>2.1</v>
      </c>
      <c r="W47" t="inlineStr">
        <is>
          <t>Yellow</t>
        </is>
      </c>
    </row>
    <row r="48">
      <c r="A48" s="9" t="inlineStr">
        <is>
          <t>20 Whitney Rd #101, Quincy, MA 02169</t>
        </is>
      </c>
      <c r="B48" t="inlineStr">
        <is>
          <t>Quincy</t>
        </is>
      </c>
      <c r="C48" s="7" t="inlineStr">
        <is>
          <t>https://www.zillow.com/homedetails/20-Whitney-Rd-101-Quincy-MA-02169/455786544_zpid/</t>
        </is>
      </c>
      <c r="D48" s="5" t="n">
        <v>499000</v>
      </c>
      <c r="E48" s="5" t="n">
        <v>0</v>
      </c>
      <c r="F48" t="inlineStr">
        <is>
          <t>1bd/1.0ba</t>
        </is>
      </c>
      <c r="G48" s="4" t="n">
        <v>575</v>
      </c>
      <c r="H48" t="inlineStr">
        <is>
          <t>No</t>
        </is>
      </c>
      <c r="I48" t="inlineStr">
        <is>
          <t>Off Street</t>
        </is>
      </c>
      <c r="J48" s="5">
        <f>D48*Assumptions!B3</f>
        <v/>
      </c>
      <c r="K48" s="5">
        <f>D48-J48</f>
        <v/>
      </c>
      <c r="L48" s="5">
        <f>-PMT(Assumptions!B2/12,Assumptions!B4*12,K48)</f>
        <v/>
      </c>
      <c r="M48" s="5">
        <f>D48*Assumptions!B5/12</f>
        <v/>
      </c>
      <c r="N48" s="5">
        <f>Assumptions!B6</f>
        <v/>
      </c>
      <c r="O48" s="5">
        <f>Assumptions!B7+Assumptions!B8</f>
        <v/>
      </c>
      <c r="P48" s="5">
        <f>L48+E48+M48+N48+O48</f>
        <v/>
      </c>
      <c r="Q48" s="5" t="n">
        <v>1380</v>
      </c>
      <c r="R48" s="5">
        <f>P48-Q48</f>
        <v/>
      </c>
      <c r="V48" s="8" t="n">
        <v>2.05</v>
      </c>
      <c r="W48" t="inlineStr">
        <is>
          <t>Yellow</t>
        </is>
      </c>
    </row>
    <row r="49">
      <c r="A49" s="9" t="inlineStr">
        <is>
          <t>10 Naviens Ln #1, Waltham, MA 02453</t>
        </is>
      </c>
      <c r="B49" t="inlineStr">
        <is>
          <t>Waltham</t>
        </is>
      </c>
      <c r="C49" s="7" t="inlineStr">
        <is>
          <t>https://www.zillow.com/homedetails/10-Naviens-Ln-1-Waltham-MA-02453/56366974_zpid/</t>
        </is>
      </c>
      <c r="D49" s="5" t="n">
        <v>499900</v>
      </c>
      <c r="E49" s="5" t="n">
        <v>134</v>
      </c>
      <c r="F49" t="inlineStr">
        <is>
          <t>2bd/1.0ba</t>
        </is>
      </c>
      <c r="G49" s="4" t="n">
        <v>1008</v>
      </c>
      <c r="H49" t="inlineStr">
        <is>
          <t>No</t>
        </is>
      </c>
      <c r="I49" t="inlineStr">
        <is>
          <t>None listed</t>
        </is>
      </c>
      <c r="J49" s="5">
        <f>D49*Assumptions!B3</f>
        <v/>
      </c>
      <c r="K49" s="5">
        <f>D49-J49</f>
        <v/>
      </c>
      <c r="L49" s="5">
        <f>-PMT(Assumptions!B2/12,Assumptions!B4*12,K49)</f>
        <v/>
      </c>
      <c r="M49" s="5">
        <f>D49*Assumptions!B5/12</f>
        <v/>
      </c>
      <c r="N49" s="5">
        <f>Assumptions!B6</f>
        <v/>
      </c>
      <c r="O49" s="5">
        <f>Assumptions!B7+Assumptions!B8</f>
        <v/>
      </c>
      <c r="P49" s="5">
        <f>L49+E49+M49+N49+O49</f>
        <v/>
      </c>
      <c r="Q49" s="5" t="n">
        <v>1342</v>
      </c>
      <c r="R49" s="5">
        <f>P49-Q49</f>
        <v/>
      </c>
      <c r="V49" s="8" t="n">
        <v>2.05</v>
      </c>
      <c r="W49" t="inlineStr">
        <is>
          <t>Yellow</t>
        </is>
      </c>
    </row>
    <row r="50">
      <c r="A50" s="9" t="inlineStr">
        <is>
          <t>7 Cypress Rd APT 703, Brighton, MA 02135</t>
        </is>
      </c>
      <c r="B50" t="inlineStr">
        <is>
          <t>Brighton</t>
        </is>
      </c>
      <c r="C50" s="7" t="inlineStr">
        <is>
          <t>https://www.zillow.com/homedetails/7-Cypress-Rd-APT-703-Brighton-MA-02135/59091947_zpid/</t>
        </is>
      </c>
      <c r="D50" s="5" t="n">
        <v>448000</v>
      </c>
      <c r="E50" s="5" t="n">
        <v>315</v>
      </c>
      <c r="F50" t="inlineStr">
        <is>
          <t>2bd/1.0ba</t>
        </is>
      </c>
      <c r="G50" s="4" t="n">
        <v>576</v>
      </c>
      <c r="H50" t="inlineStr">
        <is>
          <t>No</t>
        </is>
      </c>
      <c r="I50" t="inlineStr">
        <is>
          <t>Off Street, Deeded</t>
        </is>
      </c>
      <c r="J50" s="5">
        <f>D50*Assumptions!B3</f>
        <v/>
      </c>
      <c r="K50" s="5">
        <f>D50-J50</f>
        <v/>
      </c>
      <c r="L50" s="5">
        <f>-PMT(Assumptions!B2/12,Assumptions!B4*12,K50)</f>
        <v/>
      </c>
      <c r="M50" s="5">
        <f>D50*Assumptions!B5/12</f>
        <v/>
      </c>
      <c r="N50" s="5">
        <f>Assumptions!B6</f>
        <v/>
      </c>
      <c r="O50" s="5">
        <f>Assumptions!B7+Assumptions!B8</f>
        <v/>
      </c>
      <c r="P50" s="5">
        <f>L50+E50+M50+N50+O50</f>
        <v/>
      </c>
      <c r="Q50" s="5" t="n">
        <v>1449</v>
      </c>
      <c r="R50" s="5">
        <f>P50-Q50</f>
        <v/>
      </c>
      <c r="V50" s="8" t="n">
        <v>2.05</v>
      </c>
      <c r="W50" t="inlineStr">
        <is>
          <t>Yellow</t>
        </is>
      </c>
    </row>
    <row r="51">
      <c r="A51" s="9" t="inlineStr">
        <is>
          <t>367 Somerville Ave APT G, Somerville, MA 02143</t>
        </is>
      </c>
      <c r="B51" t="inlineStr">
        <is>
          <t>Cambridge</t>
        </is>
      </c>
      <c r="C51" s="7" t="inlineStr">
        <is>
          <t>https://www.zillow.com/homedetails/367-Somerville-Ave-APT-G-Somerville-MA-02143/60111757_zpid/</t>
        </is>
      </c>
      <c r="D51" s="5" t="n">
        <v>425000</v>
      </c>
      <c r="E51" s="5" t="n">
        <v>304</v>
      </c>
      <c r="F51" t="inlineStr">
        <is>
          <t>1bd/1.0ba</t>
        </is>
      </c>
      <c r="G51" s="4" t="n">
        <v>419</v>
      </c>
      <c r="H51" t="inlineStr">
        <is>
          <t>No</t>
        </is>
      </c>
      <c r="I51" t="inlineStr">
        <is>
          <t>None listed</t>
        </is>
      </c>
      <c r="J51" s="5">
        <f>D51*Assumptions!B3</f>
        <v/>
      </c>
      <c r="K51" s="5">
        <f>D51-J51</f>
        <v/>
      </c>
      <c r="L51" s="5">
        <f>-PMT(Assumptions!B2/12,Assumptions!B4*12,K51)</f>
        <v/>
      </c>
      <c r="M51" s="5">
        <f>D51*Assumptions!B5/12</f>
        <v/>
      </c>
      <c r="N51" s="5">
        <f>Assumptions!B6</f>
        <v/>
      </c>
      <c r="O51" s="5">
        <f>Assumptions!B7+Assumptions!B8</f>
        <v/>
      </c>
      <c r="P51" s="5">
        <f>L51+E51+M51+N51+O51</f>
        <v/>
      </c>
      <c r="Q51" s="5" t="n">
        <v>1350</v>
      </c>
      <c r="R51" s="5">
        <f>P51-Q51</f>
        <v/>
      </c>
      <c r="V51" s="8" t="n">
        <v>2.05</v>
      </c>
      <c r="W51" t="inlineStr">
        <is>
          <t>Yellow</t>
        </is>
      </c>
    </row>
    <row r="52">
      <c r="A52" s="9" t="inlineStr">
        <is>
          <t>21 Beacon St APT 6D, Boston, MA 02108</t>
        </is>
      </c>
      <c r="B52" t="inlineStr">
        <is>
          <t>Cambridge</t>
        </is>
      </c>
      <c r="C52" s="7" t="inlineStr">
        <is>
          <t>https://www.zillow.com/homedetails/21-Beacon-St-APT-6D-Boston-MA-02108/59180776_zpid/</t>
        </is>
      </c>
      <c r="D52" s="5" t="n">
        <v>445999</v>
      </c>
      <c r="E52" s="5" t="n">
        <v>338</v>
      </c>
      <c r="F52" t="inlineStr">
        <is>
          <t>?bd/1.0ba</t>
        </is>
      </c>
      <c r="G52" s="4" t="n">
        <v>300</v>
      </c>
      <c r="H52" t="inlineStr">
        <is>
          <t>No</t>
        </is>
      </c>
      <c r="I52" t="inlineStr">
        <is>
          <t>None listed</t>
        </is>
      </c>
      <c r="J52" s="5">
        <f>D52*Assumptions!B3</f>
        <v/>
      </c>
      <c r="K52" s="5">
        <f>D52-J52</f>
        <v/>
      </c>
      <c r="L52" s="5">
        <f>-PMT(Assumptions!B2/12,Assumptions!B4*12,K52)</f>
        <v/>
      </c>
      <c r="M52" s="5">
        <f>D52*Assumptions!B5/12</f>
        <v/>
      </c>
      <c r="N52" s="5">
        <f>Assumptions!B6</f>
        <v/>
      </c>
      <c r="O52" s="5">
        <f>Assumptions!B7+Assumptions!B8</f>
        <v/>
      </c>
      <c r="P52" s="5">
        <f>L52+E52+M52+N52+O52</f>
        <v/>
      </c>
      <c r="Q52" s="5" t="n">
        <v>1513</v>
      </c>
      <c r="R52" s="5">
        <f>P52-Q52</f>
        <v/>
      </c>
      <c r="V52" s="8" t="n">
        <v>2.05</v>
      </c>
      <c r="W52" t="inlineStr">
        <is>
          <t>Yellow</t>
        </is>
      </c>
    </row>
    <row r="53">
      <c r="A53" s="9" t="inlineStr">
        <is>
          <t>21 Beacon St APT 3K, Boston, MA 02108</t>
        </is>
      </c>
      <c r="B53" t="inlineStr">
        <is>
          <t>Cambridge</t>
        </is>
      </c>
      <c r="C53" s="7" t="inlineStr">
        <is>
          <t>https://www.zillow.com/homedetails/21-Beacon-St-APT-3K-Boston-MA-02108/59180727_zpid/</t>
        </is>
      </c>
      <c r="D53" s="5" t="n">
        <v>435000</v>
      </c>
      <c r="E53" s="5" t="n">
        <v>275</v>
      </c>
      <c r="F53" t="inlineStr">
        <is>
          <t>?bd/1.0ba</t>
        </is>
      </c>
      <c r="G53" s="4" t="n">
        <v>262</v>
      </c>
      <c r="H53" t="inlineStr">
        <is>
          <t>No</t>
        </is>
      </c>
      <c r="I53" t="inlineStr">
        <is>
          <t>None listed</t>
        </is>
      </c>
      <c r="J53" s="5">
        <f>D53*Assumptions!B3</f>
        <v/>
      </c>
      <c r="K53" s="5">
        <f>D53-J53</f>
        <v/>
      </c>
      <c r="L53" s="5">
        <f>-PMT(Assumptions!B2/12,Assumptions!B4*12,K53)</f>
        <v/>
      </c>
      <c r="M53" s="5">
        <f>D53*Assumptions!B5/12</f>
        <v/>
      </c>
      <c r="N53" s="5">
        <f>Assumptions!B6</f>
        <v/>
      </c>
      <c r="O53" s="5">
        <f>Assumptions!B7+Assumptions!B8</f>
        <v/>
      </c>
      <c r="P53" s="5">
        <f>L53+E53+M53+N53+O53</f>
        <v/>
      </c>
      <c r="Q53" s="5" t="n">
        <v>1475</v>
      </c>
      <c r="R53" s="5">
        <f>P53-Q53</f>
        <v/>
      </c>
      <c r="V53" s="8" t="n">
        <v>2.05</v>
      </c>
      <c r="W53" t="inlineStr">
        <is>
          <t>Yellow</t>
        </is>
      </c>
    </row>
    <row r="54">
      <c r="A54" s="9" t="inlineStr">
        <is>
          <t>231 Coolidge Ave APT 405, Watertown, MA 02472</t>
        </is>
      </c>
      <c r="B54" t="inlineStr">
        <is>
          <t>Cambridge</t>
        </is>
      </c>
      <c r="C54" s="7" t="inlineStr">
        <is>
          <t>https://www.zillow.com/homedetails/231-Coolidge-Ave-APT-405-Watertown-MA-02472/56375483_zpid/</t>
        </is>
      </c>
      <c r="D54" s="5" t="n">
        <v>389000</v>
      </c>
      <c r="E54" s="5" t="n">
        <v>408</v>
      </c>
      <c r="F54" t="inlineStr">
        <is>
          <t>?bd/1.0ba</t>
        </is>
      </c>
      <c r="G54" s="4" t="n">
        <v>379</v>
      </c>
      <c r="H54" t="inlineStr">
        <is>
          <t>No</t>
        </is>
      </c>
      <c r="I54" t="inlineStr">
        <is>
          <t>Off Street</t>
        </is>
      </c>
      <c r="J54" s="5">
        <f>D54*Assumptions!B3</f>
        <v/>
      </c>
      <c r="K54" s="5">
        <f>D54-J54</f>
        <v/>
      </c>
      <c r="L54" s="5">
        <f>-PMT(Assumptions!B2/12,Assumptions!B4*12,K54)</f>
        <v/>
      </c>
      <c r="M54" s="5">
        <f>D54*Assumptions!B5/12</f>
        <v/>
      </c>
      <c r="N54" s="5">
        <f>Assumptions!B6</f>
        <v/>
      </c>
      <c r="O54" s="5">
        <f>Assumptions!B7+Assumptions!B8</f>
        <v/>
      </c>
      <c r="P54" s="5">
        <f>L54+E54+M54+N54+O54</f>
        <v/>
      </c>
      <c r="Q54" s="5" t="n">
        <v>1216</v>
      </c>
      <c r="R54" s="5">
        <f>P54-Q54</f>
        <v/>
      </c>
      <c r="V54" s="8" t="n">
        <v>2.05</v>
      </c>
      <c r="W54" t="inlineStr">
        <is>
          <t>Yellow</t>
        </is>
      </c>
    </row>
    <row r="55">
      <c r="A55" s="9" t="inlineStr">
        <is>
          <t>50 Water St APT 24, Medford, MA 02155</t>
        </is>
      </c>
      <c r="B55" t="inlineStr">
        <is>
          <t>Medford</t>
        </is>
      </c>
      <c r="C55" s="7" t="inlineStr">
        <is>
          <t>https://www.zillow.com/homedetails/50-Water-St-APT-24-Medford-MA-02155/56278371_zpid/</t>
        </is>
      </c>
      <c r="D55" s="5" t="n">
        <v>389900</v>
      </c>
      <c r="E55" s="5" t="n">
        <v>465</v>
      </c>
      <c r="F55" t="inlineStr">
        <is>
          <t>1bd/1.0ba</t>
        </is>
      </c>
      <c r="G55" s="4" t="n">
        <v>634</v>
      </c>
      <c r="H55" t="inlineStr">
        <is>
          <t>No</t>
        </is>
      </c>
      <c r="I55" t="inlineStr">
        <is>
          <t>Off Street, Deeded</t>
        </is>
      </c>
      <c r="J55" s="5">
        <f>D55*Assumptions!B3</f>
        <v/>
      </c>
      <c r="K55" s="5">
        <f>D55-J55</f>
        <v/>
      </c>
      <c r="L55" s="5">
        <f>-PMT(Assumptions!B2/12,Assumptions!B4*12,K55)</f>
        <v/>
      </c>
      <c r="M55" s="5">
        <f>D55*Assumptions!B5/12</f>
        <v/>
      </c>
      <c r="N55" s="5">
        <f>Assumptions!B6</f>
        <v/>
      </c>
      <c r="O55" s="5">
        <f>Assumptions!B7+Assumptions!B8</f>
        <v/>
      </c>
      <c r="P55" s="5">
        <f>L55+E55+M55+N55+O55</f>
        <v/>
      </c>
      <c r="Q55" s="5" t="n">
        <v>1267</v>
      </c>
      <c r="R55" s="5">
        <f>P55-Q55</f>
        <v/>
      </c>
      <c r="V55" s="8" t="n">
        <v>2.05</v>
      </c>
      <c r="W55" t="inlineStr">
        <is>
          <t>Yellow</t>
        </is>
      </c>
    </row>
    <row r="56">
      <c r="A56" s="9" t="inlineStr">
        <is>
          <t>21 Totman St #404, Quincy, MA 02169</t>
        </is>
      </c>
      <c r="B56" t="inlineStr">
        <is>
          <t>Quincy</t>
        </is>
      </c>
      <c r="C56" s="7" t="inlineStr">
        <is>
          <t>https://www.zillow.com/homedetails/21-Totman-St-404-Quincy-MA-02169/459618632_zpid/</t>
        </is>
      </c>
      <c r="D56" s="5" t="n">
        <v>500000</v>
      </c>
      <c r="E56" s="5" t="n">
        <v>0</v>
      </c>
      <c r="F56" t="inlineStr">
        <is>
          <t>1bd/1.0ba</t>
        </is>
      </c>
      <c r="G56" s="4" t="n">
        <v>679</v>
      </c>
      <c r="H56" t="inlineStr">
        <is>
          <t>No</t>
        </is>
      </c>
      <c r="I56" t="inlineStr">
        <is>
          <t>Unknown</t>
        </is>
      </c>
      <c r="J56" s="5">
        <f>D56*Assumptions!B3</f>
        <v/>
      </c>
      <c r="K56" s="5">
        <f>D56-J56</f>
        <v/>
      </c>
      <c r="L56" s="5">
        <f>-PMT(Assumptions!B2/12,Assumptions!B4*12,K56)</f>
        <v/>
      </c>
      <c r="M56" s="5">
        <f>D56*Assumptions!B5/12</f>
        <v/>
      </c>
      <c r="N56" s="5">
        <f>Assumptions!B6</f>
        <v/>
      </c>
      <c r="O56" s="5">
        <f>Assumptions!B7+Assumptions!B8</f>
        <v/>
      </c>
      <c r="P56" s="5">
        <f>L56+E56+M56+N56+O56</f>
        <v/>
      </c>
      <c r="Q56" s="5" t="n">
        <v>1800</v>
      </c>
      <c r="R56" s="5">
        <f>P56-Q56</f>
        <v/>
      </c>
      <c r="V56" s="8" t="n">
        <v>2</v>
      </c>
      <c r="W56" t="inlineStr">
        <is>
          <t>Yellow</t>
        </is>
      </c>
    </row>
    <row r="57">
      <c r="A57" s="9" t="inlineStr">
        <is>
          <t>0 Franklin St, Milton, MA 02186</t>
        </is>
      </c>
      <c r="B57" t="inlineStr">
        <is>
          <t>Quincy</t>
        </is>
      </c>
      <c r="C57" s="7" t="inlineStr">
        <is>
          <t>https://www.zillow.com/homedetails/0-Franklin-St-Milton-MA-02186/441747147_zpid/</t>
        </is>
      </c>
      <c r="D57" s="5" t="n">
        <v>599000</v>
      </c>
      <c r="E57" s="5" t="n">
        <v>0</v>
      </c>
      <c r="F57" t="inlineStr">
        <is>
          <t>?bd/?ba</t>
        </is>
      </c>
      <c r="G57" s="4" t="n"/>
      <c r="H57" t="inlineStr">
        <is>
          <t>No</t>
        </is>
      </c>
      <c r="I57" t="inlineStr">
        <is>
          <t>Unknown</t>
        </is>
      </c>
      <c r="J57" s="5">
        <f>D57*Assumptions!B3</f>
        <v/>
      </c>
      <c r="K57" s="5">
        <f>D57-J57</f>
        <v/>
      </c>
      <c r="L57" s="5">
        <f>-PMT(Assumptions!B2/12,Assumptions!B4*12,K57)</f>
        <v/>
      </c>
      <c r="M57" s="5">
        <f>D57*Assumptions!B5/12</f>
        <v/>
      </c>
      <c r="N57" s="5">
        <f>Assumptions!B6</f>
        <v/>
      </c>
      <c r="O57" s="5">
        <f>Assumptions!B7+Assumptions!B8</f>
        <v/>
      </c>
      <c r="P57" s="5">
        <f>L57+E57+M57+N57+O57</f>
        <v/>
      </c>
      <c r="Q57" s="5" t="n">
        <v>1800</v>
      </c>
      <c r="R57" s="5">
        <f>P57-Q57</f>
        <v/>
      </c>
      <c r="S57" t="n">
        <v>5.9</v>
      </c>
      <c r="T57" t="n">
        <v>13.9</v>
      </c>
      <c r="U57" t="n">
        <v>18</v>
      </c>
      <c r="V57" s="8" t="n">
        <v>2</v>
      </c>
      <c r="W57" t="inlineStr">
        <is>
          <t>Yellow</t>
        </is>
      </c>
    </row>
    <row r="58">
      <c r="A58" s="9" t="inlineStr">
        <is>
          <t>2-Bedrooms Plan, 20 Whitney</t>
        </is>
      </c>
      <c r="B58" t="inlineStr">
        <is>
          <t>Quincy</t>
        </is>
      </c>
      <c r="C58" s="7" t="inlineStr">
        <is>
          <t>https://www.zillow.com/community/20-whitney/456675884_zpid/</t>
        </is>
      </c>
      <c r="D58" s="5" t="n">
        <v>599000</v>
      </c>
      <c r="E58" s="5" t="n">
        <v>0</v>
      </c>
      <c r="F58" t="inlineStr">
        <is>
          <t>2bd/2.0ba</t>
        </is>
      </c>
      <c r="G58" s="4" t="n">
        <v>900</v>
      </c>
      <c r="H58" t="inlineStr">
        <is>
          <t>No</t>
        </is>
      </c>
      <c r="I58" t="inlineStr">
        <is>
          <t>Off Street</t>
        </is>
      </c>
      <c r="J58" s="5">
        <f>D58*Assumptions!B3</f>
        <v/>
      </c>
      <c r="K58" s="5">
        <f>D58-J58</f>
        <v/>
      </c>
      <c r="L58" s="5">
        <f>-PMT(Assumptions!B2/12,Assumptions!B4*12,K58)</f>
        <v/>
      </c>
      <c r="M58" s="5">
        <f>D58*Assumptions!B5/12</f>
        <v/>
      </c>
      <c r="N58" s="5">
        <f>Assumptions!B6</f>
        <v/>
      </c>
      <c r="O58" s="5">
        <f>Assumptions!B7+Assumptions!B8</f>
        <v/>
      </c>
      <c r="P58" s="5">
        <f>L58+E58+M58+N58+O58</f>
        <v/>
      </c>
      <c r="Q58" s="5" t="n">
        <v>1555</v>
      </c>
      <c r="R58" s="5">
        <f>P58-Q58</f>
        <v/>
      </c>
      <c r="V58" s="8" t="n">
        <v>1.95</v>
      </c>
      <c r="W58" t="inlineStr">
        <is>
          <t>Yellow</t>
        </is>
      </c>
    </row>
    <row r="59">
      <c r="A59" s="9" t="inlineStr">
        <is>
          <t>31 Warren St APT B-1, Waltham, MA 02453</t>
        </is>
      </c>
      <c r="B59" t="inlineStr">
        <is>
          <t>Waltham</t>
        </is>
      </c>
      <c r="C59" s="7" t="inlineStr">
        <is>
          <t>https://www.zillow.com/homedetails/31-Warren-St-APT-B-1-Waltham-MA-02453/56365634_zpid/</t>
        </is>
      </c>
      <c r="D59" s="5" t="n">
        <v>429000</v>
      </c>
      <c r="E59" s="5" t="n">
        <v>497</v>
      </c>
      <c r="F59" t="inlineStr">
        <is>
          <t>2bd/1.0ba</t>
        </is>
      </c>
      <c r="G59" s="4" t="n">
        <v>708</v>
      </c>
      <c r="H59" t="inlineStr">
        <is>
          <t>No</t>
        </is>
      </c>
      <c r="I59" t="inlineStr">
        <is>
          <t>Off Street, Exclusive Parking</t>
        </is>
      </c>
      <c r="J59" s="5">
        <f>D59*Assumptions!B3</f>
        <v/>
      </c>
      <c r="K59" s="5">
        <f>D59-J59</f>
        <v/>
      </c>
      <c r="L59" s="5">
        <f>-PMT(Assumptions!B2/12,Assumptions!B4*12,K59)</f>
        <v/>
      </c>
      <c r="M59" s="5">
        <f>D59*Assumptions!B5/12</f>
        <v/>
      </c>
      <c r="N59" s="5">
        <f>Assumptions!B6</f>
        <v/>
      </c>
      <c r="O59" s="5">
        <f>Assumptions!B7+Assumptions!B8</f>
        <v/>
      </c>
      <c r="P59" s="5">
        <f>L59+E59+M59+N59+O59</f>
        <v/>
      </c>
      <c r="Q59" s="5" t="n">
        <v>1248</v>
      </c>
      <c r="R59" s="5">
        <f>P59-Q59</f>
        <v/>
      </c>
      <c r="V59" s="8" t="n">
        <v>1.95</v>
      </c>
      <c r="W59" t="inlineStr">
        <is>
          <t>Yellow</t>
        </is>
      </c>
    </row>
    <row r="60">
      <c r="A60" s="9" t="inlineStr">
        <is>
          <t>461 Washington St APT 301, Brighton, MA 02135</t>
        </is>
      </c>
      <c r="B60" t="inlineStr">
        <is>
          <t>Newton</t>
        </is>
      </c>
      <c r="C60" s="7" t="inlineStr">
        <is>
          <t>https://www.zillow.com/homedetails/461-Washington-St-APT-301-Brighton-MA-02135/59095771_zpid/</t>
        </is>
      </c>
      <c r="D60" s="5" t="n">
        <v>419900</v>
      </c>
      <c r="E60" s="5" t="n">
        <v>431</v>
      </c>
      <c r="F60" t="inlineStr">
        <is>
          <t>2bd/1.0ba</t>
        </is>
      </c>
      <c r="G60" s="4" t="n">
        <v>696</v>
      </c>
      <c r="H60" t="inlineStr">
        <is>
          <t>No</t>
        </is>
      </c>
      <c r="I60" t="inlineStr">
        <is>
          <t>On Street</t>
        </is>
      </c>
      <c r="J60" s="5">
        <f>D60*Assumptions!B3</f>
        <v/>
      </c>
      <c r="K60" s="5">
        <f>D60-J60</f>
        <v/>
      </c>
      <c r="L60" s="5">
        <f>-PMT(Assumptions!B2/12,Assumptions!B4*12,K60)</f>
        <v/>
      </c>
      <c r="M60" s="5">
        <f>D60*Assumptions!B5/12</f>
        <v/>
      </c>
      <c r="N60" s="5">
        <f>Assumptions!B6</f>
        <v/>
      </c>
      <c r="O60" s="5">
        <f>Assumptions!B7+Assumptions!B8</f>
        <v/>
      </c>
      <c r="P60" s="5">
        <f>L60+E60+M60+N60+O60</f>
        <v/>
      </c>
      <c r="Q60" s="5" t="n">
        <v>1331</v>
      </c>
      <c r="R60" s="5">
        <f>P60-Q60</f>
        <v/>
      </c>
      <c r="V60" s="8" t="n">
        <v>1.95</v>
      </c>
      <c r="W60" t="inlineStr">
        <is>
          <t>Yellow</t>
        </is>
      </c>
    </row>
    <row r="61">
      <c r="A61" s="9" t="inlineStr">
        <is>
          <t>147 Langdon Ave #1, Watertown, MA 02472</t>
        </is>
      </c>
      <c r="B61" t="inlineStr">
        <is>
          <t>Watertown</t>
        </is>
      </c>
      <c r="C61" s="7" t="inlineStr">
        <is>
          <t>https://www.zillow.com/homedetails/147-Langdon-Ave-1-Watertown-MA-02472/2110639068_zpid/</t>
        </is>
      </c>
      <c r="D61" s="5" t="n">
        <v>569000</v>
      </c>
      <c r="E61" s="5" t="n">
        <v>200</v>
      </c>
      <c r="F61" t="inlineStr">
        <is>
          <t>2bd/1.0ba</t>
        </is>
      </c>
      <c r="G61" s="4" t="n">
        <v>940</v>
      </c>
      <c r="H61" t="inlineStr">
        <is>
          <t>No</t>
        </is>
      </c>
      <c r="I61" t="inlineStr">
        <is>
          <t>Off Street, Tandem, Exclusive Parking</t>
        </is>
      </c>
      <c r="J61" s="5">
        <f>D61*Assumptions!B3</f>
        <v/>
      </c>
      <c r="K61" s="5">
        <f>D61-J61</f>
        <v/>
      </c>
      <c r="L61" s="5">
        <f>-PMT(Assumptions!B2/12,Assumptions!B4*12,K61)</f>
        <v/>
      </c>
      <c r="M61" s="5">
        <f>D61*Assumptions!B5/12</f>
        <v/>
      </c>
      <c r="N61" s="5">
        <f>Assumptions!B6</f>
        <v/>
      </c>
      <c r="O61" s="5">
        <f>Assumptions!B7+Assumptions!B8</f>
        <v/>
      </c>
      <c r="P61" s="5">
        <f>L61+E61+M61+N61+O61</f>
        <v/>
      </c>
      <c r="Q61" s="5" t="n">
        <v>1407</v>
      </c>
      <c r="R61" s="5">
        <f>P61-Q61</f>
        <v/>
      </c>
      <c r="V61" s="8" t="n">
        <v>1.95</v>
      </c>
      <c r="W61" t="inlineStr">
        <is>
          <t>Yellow</t>
        </is>
      </c>
    </row>
    <row r="62">
      <c r="A62" s="9" t="inlineStr">
        <is>
          <t>764 Cambridge St APT 6, Cambridge, MA 02141</t>
        </is>
      </c>
      <c r="B62" t="inlineStr">
        <is>
          <t>Cambridge</t>
        </is>
      </c>
      <c r="C62" s="7" t="inlineStr">
        <is>
          <t>https://www.zillow.com/homedetails/764-Cambridge-St-APT-6-Cambridge-MA-02141/67080024_zpid/</t>
        </is>
      </c>
      <c r="D62" s="5" t="n">
        <v>490000</v>
      </c>
      <c r="E62" s="5" t="n">
        <v>386</v>
      </c>
      <c r="F62" t="inlineStr">
        <is>
          <t>1bd/1.0ba</t>
        </is>
      </c>
      <c r="G62" s="4" t="n">
        <v>620</v>
      </c>
      <c r="H62" t="inlineStr">
        <is>
          <t>No</t>
        </is>
      </c>
      <c r="I62" t="inlineStr">
        <is>
          <t>On Street</t>
        </is>
      </c>
      <c r="J62" s="5">
        <f>D62*Assumptions!B3</f>
        <v/>
      </c>
      <c r="K62" s="5">
        <f>D62-J62</f>
        <v/>
      </c>
      <c r="L62" s="5">
        <f>-PMT(Assumptions!B2/12,Assumptions!B4*12,K62)</f>
        <v/>
      </c>
      <c r="M62" s="5">
        <f>D62*Assumptions!B5/12</f>
        <v/>
      </c>
      <c r="N62" s="5">
        <f>Assumptions!B6</f>
        <v/>
      </c>
      <c r="O62" s="5">
        <f>Assumptions!B7+Assumptions!B8</f>
        <v/>
      </c>
      <c r="P62" s="5">
        <f>L62+E62+M62+N62+O62</f>
        <v/>
      </c>
      <c r="Q62" s="5" t="n">
        <v>1498</v>
      </c>
      <c r="R62" s="5">
        <f>P62-Q62</f>
        <v/>
      </c>
      <c r="V62" s="8" t="n">
        <v>1.95</v>
      </c>
      <c r="W62" t="inlineStr">
        <is>
          <t>Yellow</t>
        </is>
      </c>
    </row>
    <row r="63">
      <c r="A63" s="9" t="inlineStr">
        <is>
          <t>33 Irving St APT 4, Boston, MA 02114</t>
        </is>
      </c>
      <c r="B63" t="inlineStr">
        <is>
          <t>Cambridge</t>
        </is>
      </c>
      <c r="C63" s="7" t="inlineStr">
        <is>
          <t>https://www.zillow.com/homedetails/33-Irving-St-APT-4-Boston-MA-02114/59174199_zpid/</t>
        </is>
      </c>
      <c r="D63" s="5" t="n">
        <v>499000</v>
      </c>
      <c r="E63" s="5" t="n">
        <v>291</v>
      </c>
      <c r="F63" t="inlineStr">
        <is>
          <t>1bd/1.0ba</t>
        </is>
      </c>
      <c r="G63" s="4" t="n">
        <v>390</v>
      </c>
      <c r="H63" t="inlineStr">
        <is>
          <t>No</t>
        </is>
      </c>
      <c r="I63" t="inlineStr">
        <is>
          <t>On Street</t>
        </is>
      </c>
      <c r="J63" s="5">
        <f>D63*Assumptions!B3</f>
        <v/>
      </c>
      <c r="K63" s="5">
        <f>D63-J63</f>
        <v/>
      </c>
      <c r="L63" s="5">
        <f>-PMT(Assumptions!B2/12,Assumptions!B4*12,K63)</f>
        <v/>
      </c>
      <c r="M63" s="5">
        <f>D63*Assumptions!B5/12</f>
        <v/>
      </c>
      <c r="N63" s="5">
        <f>Assumptions!B6</f>
        <v/>
      </c>
      <c r="O63" s="5">
        <f>Assumptions!B7+Assumptions!B8</f>
        <v/>
      </c>
      <c r="P63" s="5">
        <f>L63+E63+M63+N63+O63</f>
        <v/>
      </c>
      <c r="Q63" s="5" t="n">
        <v>1536</v>
      </c>
      <c r="R63" s="5">
        <f>P63-Q63</f>
        <v/>
      </c>
      <c r="V63" s="8" t="n">
        <v>1.95</v>
      </c>
      <c r="W63" t="inlineStr">
        <is>
          <t>Yellow</t>
        </is>
      </c>
    </row>
    <row r="64">
      <c r="A64" s="9" t="inlineStr">
        <is>
          <t>8 9th St APT 513, Medford, MA 02155</t>
        </is>
      </c>
      <c r="B64" t="inlineStr">
        <is>
          <t>Medford</t>
        </is>
      </c>
      <c r="C64" s="7" t="inlineStr">
        <is>
          <t>https://www.zillow.com/homedetails/8-9th-St-APT-513-Medford-MA-02155/56284573_zpid/</t>
        </is>
      </c>
      <c r="D64" s="5" t="n">
        <v>499000</v>
      </c>
      <c r="E64" s="5" t="n">
        <v>440</v>
      </c>
      <c r="F64" t="inlineStr">
        <is>
          <t>2bd/2.0ba</t>
        </is>
      </c>
      <c r="G64" s="4" t="n">
        <v>1264</v>
      </c>
      <c r="H64" t="inlineStr">
        <is>
          <t>No</t>
        </is>
      </c>
      <c r="I64" t="inlineStr">
        <is>
          <t>Off Street</t>
        </is>
      </c>
      <c r="J64" s="5">
        <f>D64*Assumptions!B3</f>
        <v/>
      </c>
      <c r="K64" s="5">
        <f>D64-J64</f>
        <v/>
      </c>
      <c r="L64" s="5">
        <f>-PMT(Assumptions!B2/12,Assumptions!B4*12,K64)</f>
        <v/>
      </c>
      <c r="M64" s="5">
        <f>D64*Assumptions!B5/12</f>
        <v/>
      </c>
      <c r="N64" s="5">
        <f>Assumptions!B6</f>
        <v/>
      </c>
      <c r="O64" s="5">
        <f>Assumptions!B7+Assumptions!B8</f>
        <v/>
      </c>
      <c r="P64" s="5">
        <f>L64+E64+M64+N64+O64</f>
        <v/>
      </c>
      <c r="Q64" s="5" t="n">
        <v>1606</v>
      </c>
      <c r="R64" s="5">
        <f>P64-Q64</f>
        <v/>
      </c>
      <c r="V64" s="8" t="n">
        <v>1.95</v>
      </c>
      <c r="W64" t="inlineStr">
        <is>
          <t>Yellow</t>
        </is>
      </c>
    </row>
    <row r="65">
      <c r="A65" s="9" t="inlineStr">
        <is>
          <t>9 Henry St #9, Belmont, MA 02478</t>
        </is>
      </c>
      <c r="B65" t="inlineStr">
        <is>
          <t>Belmont</t>
        </is>
      </c>
      <c r="C65" s="7" t="inlineStr">
        <is>
          <t>https://www.zillow.com/homedetails/9-Henry-St-9-Belmont-MA-02478/2069694645_zpid/</t>
        </is>
      </c>
      <c r="D65" s="5" t="n">
        <v>575000</v>
      </c>
      <c r="E65" s="5" t="n">
        <v>200</v>
      </c>
      <c r="F65" t="inlineStr">
        <is>
          <t>2bd/1.0ba</t>
        </is>
      </c>
      <c r="G65" s="4" t="n">
        <v>724</v>
      </c>
      <c r="H65" t="inlineStr">
        <is>
          <t>No</t>
        </is>
      </c>
      <c r="I65" t="inlineStr">
        <is>
          <t>Off Street, Assigned, Deeded</t>
        </is>
      </c>
      <c r="J65" s="5">
        <f>D65*Assumptions!B3</f>
        <v/>
      </c>
      <c r="K65" s="5">
        <f>D65-J65</f>
        <v/>
      </c>
      <c r="L65" s="5">
        <f>-PMT(Assumptions!B2/12,Assumptions!B4*12,K65)</f>
        <v/>
      </c>
      <c r="M65" s="5">
        <f>D65*Assumptions!B5/12</f>
        <v/>
      </c>
      <c r="N65" s="5">
        <f>Assumptions!B6</f>
        <v/>
      </c>
      <c r="O65" s="5">
        <f>Assumptions!B7+Assumptions!B8</f>
        <v/>
      </c>
      <c r="P65" s="5">
        <f>L65+E65+M65+N65+O65</f>
        <v/>
      </c>
      <c r="Q65" s="5" t="n">
        <v>2111</v>
      </c>
      <c r="R65" s="5">
        <f>P65-Q65</f>
        <v/>
      </c>
      <c r="V65" s="8" t="n">
        <v>1.95</v>
      </c>
      <c r="W65" t="inlineStr">
        <is>
          <t>Yellow</t>
        </is>
      </c>
    </row>
    <row r="66">
      <c r="A66" s="9" t="inlineStr">
        <is>
          <t>155 Kendrick Ave APT 502, Quincy, MA 02169</t>
        </is>
      </c>
      <c r="B66" t="inlineStr">
        <is>
          <t>Quincy</t>
        </is>
      </c>
      <c r="C66" s="7" t="inlineStr">
        <is>
          <t>https://www.zillow.com/homedetails/155-Kendrick-Ave-APT-502-Quincy-MA-02169/56591171_zpid/</t>
        </is>
      </c>
      <c r="D66" s="5" t="n">
        <v>599900</v>
      </c>
      <c r="E66" s="5" t="n">
        <v>0</v>
      </c>
      <c r="F66" t="inlineStr">
        <is>
          <t>2bd/2.0ba</t>
        </is>
      </c>
      <c r="G66" s="4" t="n">
        <v>1628</v>
      </c>
      <c r="H66" t="inlineStr">
        <is>
          <t>No</t>
        </is>
      </c>
      <c r="I66" t="inlineStr">
        <is>
          <t>Unknown</t>
        </is>
      </c>
      <c r="J66" s="5">
        <f>D66*Assumptions!B3</f>
        <v/>
      </c>
      <c r="K66" s="5">
        <f>D66-J66</f>
        <v/>
      </c>
      <c r="L66" s="5">
        <f>-PMT(Assumptions!B2/12,Assumptions!B4*12,K66)</f>
        <v/>
      </c>
      <c r="M66" s="5">
        <f>D66*Assumptions!B5/12</f>
        <v/>
      </c>
      <c r="N66" s="5">
        <f>Assumptions!B6</f>
        <v/>
      </c>
      <c r="O66" s="5">
        <f>Assumptions!B7+Assumptions!B8</f>
        <v/>
      </c>
      <c r="P66" s="5">
        <f>L66+E66+M66+N66+O66</f>
        <v/>
      </c>
      <c r="Q66" s="5" t="n">
        <v>1800</v>
      </c>
      <c r="R66" s="5">
        <f>P66-Q66</f>
        <v/>
      </c>
      <c r="V66" s="8" t="n">
        <v>1.9</v>
      </c>
      <c r="W66" t="inlineStr">
        <is>
          <t>Yellow</t>
        </is>
      </c>
    </row>
    <row r="67">
      <c r="A67" s="9" t="inlineStr">
        <is>
          <t>872 Massachusetts Ave APT 303, Cambridge, MA 02139</t>
        </is>
      </c>
      <c r="B67" t="inlineStr">
        <is>
          <t>Cambridge</t>
        </is>
      </c>
      <c r="C67" s="7" t="inlineStr">
        <is>
          <t>https://www.zillow.com/homedetails/872-Massachusetts-Ave-APT-303-Cambridge-MA-02139/2106605883_zpid/</t>
        </is>
      </c>
      <c r="D67" s="5" t="n">
        <v>598000</v>
      </c>
      <c r="E67" s="5" t="n">
        <v>0</v>
      </c>
      <c r="F67" t="inlineStr">
        <is>
          <t>1bd/2.0ba</t>
        </is>
      </c>
      <c r="G67" s="4" t="n">
        <v>750</v>
      </c>
      <c r="H67" t="inlineStr">
        <is>
          <t>No</t>
        </is>
      </c>
      <c r="I67" t="inlineStr">
        <is>
          <t>Attached, Garage Door Opener, Off Street</t>
        </is>
      </c>
      <c r="J67" s="5">
        <f>D67*Assumptions!B3</f>
        <v/>
      </c>
      <c r="K67" s="5">
        <f>D67-J67</f>
        <v/>
      </c>
      <c r="L67" s="5">
        <f>-PMT(Assumptions!B2/12,Assumptions!B4*12,K67)</f>
        <v/>
      </c>
      <c r="M67" s="5">
        <f>D67*Assumptions!B5/12</f>
        <v/>
      </c>
      <c r="N67" s="5">
        <f>Assumptions!B6</f>
        <v/>
      </c>
      <c r="O67" s="5">
        <f>Assumptions!B7+Assumptions!B8</f>
        <v/>
      </c>
      <c r="P67" s="5">
        <f>L67+E67+M67+N67+O67</f>
        <v/>
      </c>
      <c r="Q67" s="5" t="n">
        <v>1963</v>
      </c>
      <c r="R67" s="5">
        <f>P67-Q67</f>
        <v/>
      </c>
      <c r="V67" s="8" t="n">
        <v>1.9</v>
      </c>
      <c r="W67" t="inlineStr">
        <is>
          <t>Yellow</t>
        </is>
      </c>
    </row>
    <row r="68">
      <c r="A68" s="9" t="inlineStr">
        <is>
          <t>87 Franklin St Unit 105, Quincy, MA 02169</t>
        </is>
      </c>
      <c r="B68" t="inlineStr">
        <is>
          <t>Quincy</t>
        </is>
      </c>
      <c r="C68" s="7" t="inlineStr">
        <is>
          <t>https://www.zillow.com/homedetails/87-Franklin-St-UNIT-105-Quincy-MA-02169/70884919_zpid/</t>
        </is>
      </c>
      <c r="D68" s="5" t="n">
        <v>544900</v>
      </c>
      <c r="E68" s="5" t="n">
        <v>322</v>
      </c>
      <c r="F68" t="inlineStr">
        <is>
          <t>2bd/2.0ba</t>
        </is>
      </c>
      <c r="G68" s="4" t="n">
        <v>1218</v>
      </c>
      <c r="H68" t="inlineStr">
        <is>
          <t>No</t>
        </is>
      </c>
      <c r="I68" t="inlineStr">
        <is>
          <t>Attached, Heated Garage, Common, Assigned, Guest</t>
        </is>
      </c>
      <c r="J68" s="5">
        <f>D68*Assumptions!B3</f>
        <v/>
      </c>
      <c r="K68" s="5">
        <f>D68-J68</f>
        <v/>
      </c>
      <c r="L68" s="5">
        <f>-PMT(Assumptions!B2/12,Assumptions!B4*12,K68)</f>
        <v/>
      </c>
      <c r="M68" s="5">
        <f>D68*Assumptions!B5/12</f>
        <v/>
      </c>
      <c r="N68" s="5">
        <f>Assumptions!B6</f>
        <v/>
      </c>
      <c r="O68" s="5">
        <f>Assumptions!B7+Assumptions!B8</f>
        <v/>
      </c>
      <c r="P68" s="5">
        <f>L68+E68+M68+N68+O68</f>
        <v/>
      </c>
      <c r="Q68" s="5" t="n">
        <v>1577</v>
      </c>
      <c r="R68" s="5">
        <f>P68-Q68</f>
        <v/>
      </c>
      <c r="V68" s="8" t="n">
        <v>1.85</v>
      </c>
      <c r="W68" t="inlineStr">
        <is>
          <t>Yellow</t>
        </is>
      </c>
    </row>
    <row r="69">
      <c r="A69" s="9" t="inlineStr">
        <is>
          <t>1945 Commonwealth Ave APT 4, Brighton, MA 02135</t>
        </is>
      </c>
      <c r="B69" t="inlineStr">
        <is>
          <t>Newton</t>
        </is>
      </c>
      <c r="C69" s="7" t="inlineStr">
        <is>
          <t>https://www.zillow.com/homedetails/1945-Commonwealth-Ave-APT-4-Brighton-MA-02135/59168559_zpid/</t>
        </is>
      </c>
      <c r="D69" s="5" t="n">
        <v>439000</v>
      </c>
      <c r="E69" s="5" t="n">
        <v>364</v>
      </c>
      <c r="F69" t="inlineStr">
        <is>
          <t>1bd/1.0ba</t>
        </is>
      </c>
      <c r="G69" s="4" t="n">
        <v>605</v>
      </c>
      <c r="H69" t="inlineStr">
        <is>
          <t>No</t>
        </is>
      </c>
      <c r="I69" t="inlineStr">
        <is>
          <t>None listed</t>
        </is>
      </c>
      <c r="J69" s="5">
        <f>D69*Assumptions!B3</f>
        <v/>
      </c>
      <c r="K69" s="5">
        <f>D69-J69</f>
        <v/>
      </c>
      <c r="L69" s="5">
        <f>-PMT(Assumptions!B2/12,Assumptions!B4*12,K69)</f>
        <v/>
      </c>
      <c r="M69" s="5">
        <f>D69*Assumptions!B5/12</f>
        <v/>
      </c>
      <c r="N69" s="5">
        <f>Assumptions!B6</f>
        <v/>
      </c>
      <c r="O69" s="5">
        <f>Assumptions!B7+Assumptions!B8</f>
        <v/>
      </c>
      <c r="P69" s="5">
        <f>L69+E69+M69+N69+O69</f>
        <v/>
      </c>
      <c r="Q69" s="5" t="n">
        <v>1444</v>
      </c>
      <c r="R69" s="5">
        <f>P69-Q69</f>
        <v/>
      </c>
      <c r="V69" s="8" t="n">
        <v>1.85</v>
      </c>
      <c r="W69" t="inlineStr">
        <is>
          <t>Yellow</t>
        </is>
      </c>
    </row>
    <row r="70">
      <c r="A70" s="9" t="inlineStr">
        <is>
          <t>31 Aldrich Rd #1, Watertown, MA 02472</t>
        </is>
      </c>
      <c r="B70" t="inlineStr">
        <is>
          <t>Newton</t>
        </is>
      </c>
      <c r="C70" s="7" t="inlineStr">
        <is>
          <t>https://www.zillow.com/homedetails/31-Aldrich-Rd-1-Watertown-MA-02472/66817446_zpid/</t>
        </is>
      </c>
      <c r="D70" s="5" t="n">
        <v>500000</v>
      </c>
      <c r="E70" s="5" t="n">
        <v>225</v>
      </c>
      <c r="F70" t="inlineStr">
        <is>
          <t>2bd/1.0ba</t>
        </is>
      </c>
      <c r="G70" s="4" t="n">
        <v>753</v>
      </c>
      <c r="H70" t="inlineStr">
        <is>
          <t>No</t>
        </is>
      </c>
      <c r="I70" t="inlineStr">
        <is>
          <t>Off Street, Assigned</t>
        </is>
      </c>
      <c r="J70" s="5">
        <f>D70*Assumptions!B3</f>
        <v/>
      </c>
      <c r="K70" s="5">
        <f>D70-J70</f>
        <v/>
      </c>
      <c r="L70" s="5">
        <f>-PMT(Assumptions!B2/12,Assumptions!B4*12,K70)</f>
        <v/>
      </c>
      <c r="M70" s="5">
        <f>D70*Assumptions!B5/12</f>
        <v/>
      </c>
      <c r="N70" s="5">
        <f>Assumptions!B6</f>
        <v/>
      </c>
      <c r="O70" s="5">
        <f>Assumptions!B7+Assumptions!B8</f>
        <v/>
      </c>
      <c r="P70" s="5">
        <f>L70+E70+M70+N70+O70</f>
        <v/>
      </c>
      <c r="Q70" s="5" t="n">
        <v>1360</v>
      </c>
      <c r="R70" s="5">
        <f>P70-Q70</f>
        <v/>
      </c>
      <c r="V70" s="8" t="n">
        <v>1.85</v>
      </c>
      <c r="W70" t="inlineStr">
        <is>
          <t>Yellow</t>
        </is>
      </c>
    </row>
    <row r="71">
      <c r="A71" s="9" t="inlineStr">
        <is>
          <t>239 Kelton St APT 41, Allston, MA 02134</t>
        </is>
      </c>
      <c r="B71" t="inlineStr">
        <is>
          <t>Brighton</t>
        </is>
      </c>
      <c r="C71" s="7" t="inlineStr">
        <is>
          <t>https://www.zillow.com/homedetails/239-Kelton-St-APT-41-Allston-MA-02134/59088967_zpid/</t>
        </is>
      </c>
      <c r="D71" s="5" t="n">
        <v>475000</v>
      </c>
      <c r="E71" s="5" t="n">
        <v>498</v>
      </c>
      <c r="F71" t="inlineStr">
        <is>
          <t>2bd/1.0ba</t>
        </is>
      </c>
      <c r="G71" s="4" t="n">
        <v>690</v>
      </c>
      <c r="H71" t="inlineStr">
        <is>
          <t>No</t>
        </is>
      </c>
      <c r="I71" t="inlineStr">
        <is>
          <t>None listed</t>
        </is>
      </c>
      <c r="J71" s="5">
        <f>D71*Assumptions!B3</f>
        <v/>
      </c>
      <c r="K71" s="5">
        <f>D71-J71</f>
        <v/>
      </c>
      <c r="L71" s="5">
        <f>-PMT(Assumptions!B2/12,Assumptions!B4*12,K71)</f>
        <v/>
      </c>
      <c r="M71" s="5">
        <f>D71*Assumptions!B5/12</f>
        <v/>
      </c>
      <c r="N71" s="5">
        <f>Assumptions!B6</f>
        <v/>
      </c>
      <c r="O71" s="5">
        <f>Assumptions!B7+Assumptions!B8</f>
        <v/>
      </c>
      <c r="P71" s="5">
        <f>L71+E71+M71+N71+O71</f>
        <v/>
      </c>
      <c r="Q71" s="5" t="n">
        <v>1468</v>
      </c>
      <c r="R71" s="5">
        <f>P71-Q71</f>
        <v/>
      </c>
      <c r="V71" s="8" t="n">
        <v>1.85</v>
      </c>
      <c r="W71" t="inlineStr">
        <is>
          <t>Yellow</t>
        </is>
      </c>
    </row>
    <row r="72">
      <c r="A72" s="9" t="inlineStr">
        <is>
          <t>10 Scottfield Rd APT 2, Allston, MA 02134</t>
        </is>
      </c>
      <c r="B72" t="inlineStr">
        <is>
          <t>Brighton</t>
        </is>
      </c>
      <c r="C72" s="7" t="inlineStr">
        <is>
          <t>https://www.zillow.com/homedetails/10-Scottfield-Rd-APT-2-Allston-MA-02134/59088845_zpid/</t>
        </is>
      </c>
      <c r="D72" s="5" t="n">
        <v>474900</v>
      </c>
      <c r="E72" s="5" t="n">
        <v>408</v>
      </c>
      <c r="F72" t="inlineStr">
        <is>
          <t>2bd/1.0ba</t>
        </is>
      </c>
      <c r="G72" s="4" t="n">
        <v>746</v>
      </c>
      <c r="H72" t="inlineStr">
        <is>
          <t>No</t>
        </is>
      </c>
      <c r="I72" t="inlineStr">
        <is>
          <t>None listed</t>
        </is>
      </c>
      <c r="J72" s="5">
        <f>D72*Assumptions!B3</f>
        <v/>
      </c>
      <c r="K72" s="5">
        <f>D72-J72</f>
        <v/>
      </c>
      <c r="L72" s="5">
        <f>-PMT(Assumptions!B2/12,Assumptions!B4*12,K72)</f>
        <v/>
      </c>
      <c r="M72" s="5">
        <f>D72*Assumptions!B5/12</f>
        <v/>
      </c>
      <c r="N72" s="5">
        <f>Assumptions!B6</f>
        <v/>
      </c>
      <c r="O72" s="5">
        <f>Assumptions!B7+Assumptions!B8</f>
        <v/>
      </c>
      <c r="P72" s="5">
        <f>L72+E72+M72+N72+O72</f>
        <v/>
      </c>
      <c r="Q72" s="5" t="n">
        <v>1513</v>
      </c>
      <c r="R72" s="5">
        <f>P72-Q72</f>
        <v/>
      </c>
      <c r="V72" s="8" t="n">
        <v>1.85</v>
      </c>
      <c r="W72" t="inlineStr">
        <is>
          <t>Yellow</t>
        </is>
      </c>
    </row>
    <row r="73">
      <c r="A73" s="9" t="inlineStr">
        <is>
          <t>74 Gilman St APT 1, Somerville, MA 02145</t>
        </is>
      </c>
      <c r="B73" t="inlineStr">
        <is>
          <t>Cambridge</t>
        </is>
      </c>
      <c r="C73" s="7" t="inlineStr">
        <is>
          <t>https://www.zillow.com/homedetails/74-Gilman-St-APT-1-Somerville-MA-02145/56537708_zpid/</t>
        </is>
      </c>
      <c r="D73" s="5" t="n">
        <v>559000</v>
      </c>
      <c r="E73" s="5" t="n">
        <v>354</v>
      </c>
      <c r="F73" t="inlineStr">
        <is>
          <t>2bd/2.0ba</t>
        </is>
      </c>
      <c r="G73" s="4" t="n">
        <v>885</v>
      </c>
      <c r="H73" t="inlineStr">
        <is>
          <t>No</t>
        </is>
      </c>
      <c r="I73" t="inlineStr">
        <is>
          <t>Off Street, Assigned</t>
        </is>
      </c>
      <c r="J73" s="5">
        <f>D73*Assumptions!B3</f>
        <v/>
      </c>
      <c r="K73" s="5">
        <f>D73-J73</f>
        <v/>
      </c>
      <c r="L73" s="5">
        <f>-PMT(Assumptions!B2/12,Assumptions!B4*12,K73)</f>
        <v/>
      </c>
      <c r="M73" s="5">
        <f>D73*Assumptions!B5/12</f>
        <v/>
      </c>
      <c r="N73" s="5">
        <f>Assumptions!B6</f>
        <v/>
      </c>
      <c r="O73" s="5">
        <f>Assumptions!B7+Assumptions!B8</f>
        <v/>
      </c>
      <c r="P73" s="5">
        <f>L73+E73+M73+N73+O73</f>
        <v/>
      </c>
      <c r="Q73" s="5" t="n">
        <v>1659</v>
      </c>
      <c r="R73" s="5">
        <f>P73-Q73</f>
        <v/>
      </c>
      <c r="V73" s="8" t="n">
        <v>1.85</v>
      </c>
      <c r="W73" t="inlineStr">
        <is>
          <t>Yellow</t>
        </is>
      </c>
    </row>
    <row r="74">
      <c r="A74" s="9" t="inlineStr">
        <is>
          <t>501 Beacon St APT 1, Boston, MA 02215</t>
        </is>
      </c>
      <c r="B74" t="inlineStr">
        <is>
          <t>Cambridge</t>
        </is>
      </c>
      <c r="C74" s="7" t="inlineStr">
        <is>
          <t>https://www.zillow.com/homedetails/501-Beacon-St-APT-1-Boston-MA-02215/59178524_zpid/</t>
        </is>
      </c>
      <c r="D74" s="5" t="n">
        <v>479000</v>
      </c>
      <c r="E74" s="5" t="n">
        <v>452</v>
      </c>
      <c r="F74" t="inlineStr">
        <is>
          <t>1bd/1.0ba</t>
        </is>
      </c>
      <c r="G74" s="4" t="n">
        <v>560</v>
      </c>
      <c r="H74" t="inlineStr">
        <is>
          <t>No</t>
        </is>
      </c>
      <c r="I74" t="inlineStr">
        <is>
          <t>Off Street, None</t>
        </is>
      </c>
      <c r="J74" s="5">
        <f>D74*Assumptions!B3</f>
        <v/>
      </c>
      <c r="K74" s="5">
        <f>D74-J74</f>
        <v/>
      </c>
      <c r="L74" s="5">
        <f>-PMT(Assumptions!B2/12,Assumptions!B4*12,K74)</f>
        <v/>
      </c>
      <c r="M74" s="5">
        <f>D74*Assumptions!B5/12</f>
        <v/>
      </c>
      <c r="N74" s="5">
        <f>Assumptions!B6</f>
        <v/>
      </c>
      <c r="O74" s="5">
        <f>Assumptions!B7+Assumptions!B8</f>
        <v/>
      </c>
      <c r="P74" s="5">
        <f>L74+E74+M74+N74+O74</f>
        <v/>
      </c>
      <c r="Q74" s="5" t="n">
        <v>1775</v>
      </c>
      <c r="R74" s="5">
        <f>P74-Q74</f>
        <v/>
      </c>
      <c r="V74" s="8" t="n">
        <v>1.85</v>
      </c>
      <c r="W74" t="inlineStr">
        <is>
          <t>Yellow</t>
        </is>
      </c>
    </row>
    <row r="75">
      <c r="A75" s="9" t="inlineStr">
        <is>
          <t>6 Washington Ave APT 11, Cambridge, MA 02140</t>
        </is>
      </c>
      <c r="B75" t="inlineStr">
        <is>
          <t>Cambridge</t>
        </is>
      </c>
      <c r="C75" s="7" t="inlineStr">
        <is>
          <t>https://www.zillow.com/homedetails/6-Washington-Ave-APT-11-Cambridge-MA-02140/56438004_zpid/</t>
        </is>
      </c>
      <c r="D75" s="5" t="n">
        <v>469000</v>
      </c>
      <c r="E75" s="5" t="n">
        <v>320</v>
      </c>
      <c r="F75" t="inlineStr">
        <is>
          <t>?bd/1.0ba</t>
        </is>
      </c>
      <c r="G75" s="4" t="n">
        <v>433</v>
      </c>
      <c r="H75" t="inlineStr">
        <is>
          <t>No</t>
        </is>
      </c>
      <c r="I75" t="inlineStr">
        <is>
          <t>None listed</t>
        </is>
      </c>
      <c r="J75" s="5">
        <f>D75*Assumptions!B3</f>
        <v/>
      </c>
      <c r="K75" s="5">
        <f>D75-J75</f>
        <v/>
      </c>
      <c r="L75" s="5">
        <f>-PMT(Assumptions!B2/12,Assumptions!B4*12,K75)</f>
        <v/>
      </c>
      <c r="M75" s="5">
        <f>D75*Assumptions!B5/12</f>
        <v/>
      </c>
      <c r="N75" s="5">
        <f>Assumptions!B6</f>
        <v/>
      </c>
      <c r="O75" s="5">
        <f>Assumptions!B7+Assumptions!B8</f>
        <v/>
      </c>
      <c r="P75" s="5">
        <f>L75+E75+M75+N75+O75</f>
        <v/>
      </c>
      <c r="Q75" s="5" t="n">
        <v>1437</v>
      </c>
      <c r="R75" s="5">
        <f>P75-Q75</f>
        <v/>
      </c>
      <c r="V75" s="8" t="n">
        <v>1.85</v>
      </c>
      <c r="W75" t="inlineStr">
        <is>
          <t>Yellow</t>
        </is>
      </c>
    </row>
    <row r="76">
      <c r="A76" s="9" t="inlineStr">
        <is>
          <t>995 Massachusetts Ave APT 404, Arlington, MA 02476</t>
        </is>
      </c>
      <c r="B76" t="inlineStr">
        <is>
          <t>Arlington</t>
        </is>
      </c>
      <c r="C76" s="7" t="inlineStr">
        <is>
          <t>https://www.zillow.com/homedetails/995-Massachusetts-Ave-APT-404-Arlington-MA-02476/56396638_zpid/</t>
        </is>
      </c>
      <c r="D76" s="5" t="n">
        <v>498000</v>
      </c>
      <c r="E76" s="5" t="n">
        <v>426</v>
      </c>
      <c r="F76" t="inlineStr">
        <is>
          <t>1bd/1.0ba</t>
        </is>
      </c>
      <c r="G76" s="4" t="n">
        <v>663</v>
      </c>
      <c r="H76" t="inlineStr">
        <is>
          <t>No</t>
        </is>
      </c>
      <c r="I76" t="inlineStr">
        <is>
          <t>Off Street, Deeded</t>
        </is>
      </c>
      <c r="J76" s="5">
        <f>D76*Assumptions!B3</f>
        <v/>
      </c>
      <c r="K76" s="5">
        <f>D76-J76</f>
        <v/>
      </c>
      <c r="L76" s="5">
        <f>-PMT(Assumptions!B2/12,Assumptions!B4*12,K76)</f>
        <v/>
      </c>
      <c r="M76" s="5">
        <f>D76*Assumptions!B5/12</f>
        <v/>
      </c>
      <c r="N76" s="5">
        <f>Assumptions!B6</f>
        <v/>
      </c>
      <c r="O76" s="5">
        <f>Assumptions!B7+Assumptions!B8</f>
        <v/>
      </c>
      <c r="P76" s="5">
        <f>L76+E76+M76+N76+O76</f>
        <v/>
      </c>
      <c r="Q76" s="5" t="n">
        <v>1380</v>
      </c>
      <c r="R76" s="5">
        <f>P76-Q76</f>
        <v/>
      </c>
      <c r="V76" s="8" t="n">
        <v>1.85</v>
      </c>
      <c r="W76" t="inlineStr">
        <is>
          <t>Yellow</t>
        </is>
      </c>
    </row>
    <row r="77">
      <c r="A77" s="9" t="inlineStr">
        <is>
          <t>290 Pleasant St APT 113, Watertown, MA 02472</t>
        </is>
      </c>
      <c r="B77" t="inlineStr">
        <is>
          <t>Newton</t>
        </is>
      </c>
      <c r="C77" s="7" t="inlineStr">
        <is>
          <t>https://www.zillow.com/homedetails/290-Pleasant-St-APT-113-Watertown-MA-02472/80392270_zpid/</t>
        </is>
      </c>
      <c r="D77" s="5" t="n">
        <v>539900</v>
      </c>
      <c r="E77" s="5" t="n">
        <v>485</v>
      </c>
      <c r="F77" t="inlineStr">
        <is>
          <t>1bd/1.0ba</t>
        </is>
      </c>
      <c r="G77" s="4" t="n">
        <v>941</v>
      </c>
      <c r="H77" t="inlineStr">
        <is>
          <t>No</t>
        </is>
      </c>
      <c r="I77" t="inlineStr">
        <is>
          <t>Off Street, Assigned</t>
        </is>
      </c>
      <c r="J77" s="5">
        <f>D77*Assumptions!B3</f>
        <v/>
      </c>
      <c r="K77" s="5">
        <f>D77-J77</f>
        <v/>
      </c>
      <c r="L77" s="5">
        <f>-PMT(Assumptions!B2/12,Assumptions!B4*12,K77)</f>
        <v/>
      </c>
      <c r="M77" s="5">
        <f>D77*Assumptions!B5/12</f>
        <v/>
      </c>
      <c r="N77" s="5">
        <f>Assumptions!B6</f>
        <v/>
      </c>
      <c r="O77" s="5">
        <f>Assumptions!B7+Assumptions!B8</f>
        <v/>
      </c>
      <c r="P77" s="5">
        <f>L77+E77+M77+N77+O77</f>
        <v/>
      </c>
      <c r="Q77" s="5" t="n">
        <v>1590</v>
      </c>
      <c r="R77" s="5">
        <f>P77-Q77</f>
        <v/>
      </c>
      <c r="V77" s="8" t="n">
        <v>1.75</v>
      </c>
      <c r="W77" t="inlineStr">
        <is>
          <t>Yellow</t>
        </is>
      </c>
    </row>
    <row r="78">
      <c r="A78" s="9" t="inlineStr">
        <is>
          <t>35 Homer Ave APT 7, Cambridge, MA 02138</t>
        </is>
      </c>
      <c r="B78" t="inlineStr">
        <is>
          <t>Watertown</t>
        </is>
      </c>
      <c r="C78" s="7" t="inlineStr">
        <is>
          <t>https://www.zillow.com/homedetails/35-Homer-Ave-APT-7-Cambridge-MA-02138/2145288738_zpid/</t>
        </is>
      </c>
      <c r="D78" s="5" t="n">
        <v>500000</v>
      </c>
      <c r="E78" s="5" t="n">
        <v>325</v>
      </c>
      <c r="F78" t="inlineStr">
        <is>
          <t>1bd/1.0ba</t>
        </is>
      </c>
      <c r="G78" s="4" t="n">
        <v>504</v>
      </c>
      <c r="H78" t="inlineStr">
        <is>
          <t>No</t>
        </is>
      </c>
      <c r="I78" t="inlineStr">
        <is>
          <t>Off Street</t>
        </is>
      </c>
      <c r="J78" s="5">
        <f>D78*Assumptions!B3</f>
        <v/>
      </c>
      <c r="K78" s="5">
        <f>D78-J78</f>
        <v/>
      </c>
      <c r="L78" s="5">
        <f>-PMT(Assumptions!B2/12,Assumptions!B4*12,K78)</f>
        <v/>
      </c>
      <c r="M78" s="5">
        <f>D78*Assumptions!B5/12</f>
        <v/>
      </c>
      <c r="N78" s="5">
        <f>Assumptions!B6</f>
        <v/>
      </c>
      <c r="O78" s="5">
        <f>Assumptions!B7+Assumptions!B8</f>
        <v/>
      </c>
      <c r="P78" s="5">
        <f>L78+E78+M78+N78+O78</f>
        <v/>
      </c>
      <c r="Q78" s="5" t="n">
        <v>1423</v>
      </c>
      <c r="R78" s="5">
        <f>P78-Q78</f>
        <v/>
      </c>
      <c r="V78" s="8" t="n">
        <v>1.75</v>
      </c>
      <c r="W78" t="inlineStr">
        <is>
          <t>Yellow</t>
        </is>
      </c>
    </row>
    <row r="79">
      <c r="A79" s="9" t="inlineStr">
        <is>
          <t>60 Sutherland Rd APT 4, Brighton, MA 02135</t>
        </is>
      </c>
      <c r="B79" t="inlineStr">
        <is>
          <t>Brighton</t>
        </is>
      </c>
      <c r="C79" s="7" t="inlineStr">
        <is>
          <t>https://www.zillow.com/homedetails/60-Sutherland-Rd-APT-4-Brighton-MA-02135/59093941_zpid/</t>
        </is>
      </c>
      <c r="D79" s="5" t="n">
        <v>585000</v>
      </c>
      <c r="E79" s="5" t="n">
        <v>493</v>
      </c>
      <c r="F79" t="inlineStr">
        <is>
          <t>2bd/1.0ba</t>
        </is>
      </c>
      <c r="G79" s="4" t="n">
        <v>877</v>
      </c>
      <c r="H79" t="inlineStr">
        <is>
          <t>No</t>
        </is>
      </c>
      <c r="I79" t="inlineStr">
        <is>
          <t>Off Street</t>
        </is>
      </c>
      <c r="J79" s="5">
        <f>D79*Assumptions!B3</f>
        <v/>
      </c>
      <c r="K79" s="5">
        <f>D79-J79</f>
        <v/>
      </c>
      <c r="L79" s="5">
        <f>-PMT(Assumptions!B2/12,Assumptions!B4*12,K79)</f>
        <v/>
      </c>
      <c r="M79" s="5">
        <f>D79*Assumptions!B5/12</f>
        <v/>
      </c>
      <c r="N79" s="5">
        <f>Assumptions!B6</f>
        <v/>
      </c>
      <c r="O79" s="5">
        <f>Assumptions!B7+Assumptions!B8</f>
        <v/>
      </c>
      <c r="P79" s="5">
        <f>L79+E79+M79+N79+O79</f>
        <v/>
      </c>
      <c r="Q79" s="5" t="n">
        <v>1557</v>
      </c>
      <c r="R79" s="5">
        <f>P79-Q79</f>
        <v/>
      </c>
      <c r="V79" s="8" t="n">
        <v>1.75</v>
      </c>
      <c r="W79" t="inlineStr">
        <is>
          <t>Yellow</t>
        </is>
      </c>
    </row>
    <row r="80">
      <c r="A80" s="9" t="inlineStr">
        <is>
          <t>7 Lothian Rd #B, Boston, MA 02135</t>
        </is>
      </c>
      <c r="B80" t="inlineStr">
        <is>
          <t>Brighton</t>
        </is>
      </c>
      <c r="C80" s="7" t="inlineStr">
        <is>
          <t>https://www.zillow.com/homedetails/7-Lothian-Rd-B-Boston-MA-02135/59093757_zpid/</t>
        </is>
      </c>
      <c r="D80" s="5" t="n">
        <v>539900</v>
      </c>
      <c r="E80" s="5" t="n">
        <v>417</v>
      </c>
      <c r="F80" t="inlineStr">
        <is>
          <t>3bd/1.0ba</t>
        </is>
      </c>
      <c r="G80" s="4" t="n">
        <v>900</v>
      </c>
      <c r="H80" t="inlineStr">
        <is>
          <t>No</t>
        </is>
      </c>
      <c r="I80" t="inlineStr">
        <is>
          <t>On Street</t>
        </is>
      </c>
      <c r="J80" s="5">
        <f>D80*Assumptions!B3</f>
        <v/>
      </c>
      <c r="K80" s="5">
        <f>D80-J80</f>
        <v/>
      </c>
      <c r="L80" s="5">
        <f>-PMT(Assumptions!B2/12,Assumptions!B4*12,K80)</f>
        <v/>
      </c>
      <c r="M80" s="5">
        <f>D80*Assumptions!B5/12</f>
        <v/>
      </c>
      <c r="N80" s="5">
        <f>Assumptions!B6</f>
        <v/>
      </c>
      <c r="O80" s="5">
        <f>Assumptions!B7+Assumptions!B8</f>
        <v/>
      </c>
      <c r="P80" s="5">
        <f>L80+E80+M80+N80+O80</f>
        <v/>
      </c>
      <c r="Q80" s="5" t="n">
        <v>1515</v>
      </c>
      <c r="R80" s="5">
        <f>P80-Q80</f>
        <v/>
      </c>
      <c r="V80" s="8" t="n">
        <v>1.75</v>
      </c>
      <c r="W80" t="inlineStr">
        <is>
          <t>Yellow</t>
        </is>
      </c>
    </row>
    <row r="81">
      <c r="A81" s="9" t="inlineStr">
        <is>
          <t>15 Colliston Rd APT 6, Brighton, MA 02135</t>
        </is>
      </c>
      <c r="B81" t="inlineStr">
        <is>
          <t>Brighton</t>
        </is>
      </c>
      <c r="C81" s="7" t="inlineStr">
        <is>
          <t>https://www.zillow.com/homedetails/15-Colliston-Rd-APT-6-Brighton-MA-02135/59089643_zpid/</t>
        </is>
      </c>
      <c r="D81" s="5" t="n">
        <v>450000</v>
      </c>
      <c r="E81" s="5" t="n">
        <v>425</v>
      </c>
      <c r="F81" t="inlineStr">
        <is>
          <t>1bd/1.0ba</t>
        </is>
      </c>
      <c r="G81" s="4" t="n">
        <v>577</v>
      </c>
      <c r="H81" t="inlineStr">
        <is>
          <t>No</t>
        </is>
      </c>
      <c r="I81" t="inlineStr">
        <is>
          <t>None listed</t>
        </is>
      </c>
      <c r="J81" s="5">
        <f>D81*Assumptions!B3</f>
        <v/>
      </c>
      <c r="K81" s="5">
        <f>D81-J81</f>
        <v/>
      </c>
      <c r="L81" s="5">
        <f>-PMT(Assumptions!B2/12,Assumptions!B4*12,K81)</f>
        <v/>
      </c>
      <c r="M81" s="5">
        <f>D81*Assumptions!B5/12</f>
        <v/>
      </c>
      <c r="N81" s="5">
        <f>Assumptions!B6</f>
        <v/>
      </c>
      <c r="O81" s="5">
        <f>Assumptions!B7+Assumptions!B8</f>
        <v/>
      </c>
      <c r="P81" s="5">
        <f>L81+E81+M81+N81+O81</f>
        <v/>
      </c>
      <c r="Q81" s="5" t="n">
        <v>1394</v>
      </c>
      <c r="R81" s="5">
        <f>P81-Q81</f>
        <v/>
      </c>
      <c r="V81" s="8" t="n">
        <v>1.75</v>
      </c>
      <c r="W81" t="inlineStr">
        <is>
          <t>Yellow</t>
        </is>
      </c>
    </row>
    <row r="82">
      <c r="A82" s="9" t="inlineStr">
        <is>
          <t>100 Lanark Rd APT 8, Brighton, MA 02135</t>
        </is>
      </c>
      <c r="B82" t="inlineStr">
        <is>
          <t>Brighton</t>
        </is>
      </c>
      <c r="C82" s="7" t="inlineStr">
        <is>
          <t>https://www.zillow.com/homedetails/100-Lanark-Rd-APT-8-Brighton-MA-02135/59093221_zpid/</t>
        </is>
      </c>
      <c r="D82" s="5" t="n">
        <v>420000</v>
      </c>
      <c r="E82" s="5" t="n">
        <v>500</v>
      </c>
      <c r="F82" t="inlineStr">
        <is>
          <t>1bd/1.0ba</t>
        </is>
      </c>
      <c r="G82" s="4" t="n">
        <v>560</v>
      </c>
      <c r="H82" t="inlineStr">
        <is>
          <t>No</t>
        </is>
      </c>
      <c r="I82" t="inlineStr">
        <is>
          <t>None listed</t>
        </is>
      </c>
      <c r="J82" s="5">
        <f>D82*Assumptions!B3</f>
        <v/>
      </c>
      <c r="K82" s="5">
        <f>D82-J82</f>
        <v/>
      </c>
      <c r="L82" s="5">
        <f>-PMT(Assumptions!B2/12,Assumptions!B4*12,K82)</f>
        <v/>
      </c>
      <c r="M82" s="5">
        <f>D82*Assumptions!B5/12</f>
        <v/>
      </c>
      <c r="N82" s="5">
        <f>Assumptions!B6</f>
        <v/>
      </c>
      <c r="O82" s="5">
        <f>Assumptions!B7+Assumptions!B8</f>
        <v/>
      </c>
      <c r="P82" s="5">
        <f>L82+E82+M82+N82+O82</f>
        <v/>
      </c>
      <c r="Q82" s="5" t="n">
        <v>1368</v>
      </c>
      <c r="R82" s="5">
        <f>P82-Q82</f>
        <v/>
      </c>
      <c r="V82" s="8" t="n">
        <v>1.75</v>
      </c>
      <c r="W82" t="inlineStr">
        <is>
          <t>Yellow</t>
        </is>
      </c>
    </row>
    <row r="83">
      <c r="A83" s="9" t="inlineStr">
        <is>
          <t>4 Franklin St #202, Allston, MA 02134</t>
        </is>
      </c>
      <c r="B83" t="inlineStr">
        <is>
          <t>Brighton</t>
        </is>
      </c>
      <c r="C83" s="7" t="inlineStr">
        <is>
          <t>https://www.zillow.com/homedetails/4-Franklin-St-202-Allston-MA-02134/348499954_zpid/</t>
        </is>
      </c>
      <c r="D83" s="5" t="n">
        <v>588000</v>
      </c>
      <c r="E83" s="5" t="n">
        <v>244</v>
      </c>
      <c r="F83" t="inlineStr">
        <is>
          <t>1bd/1.0ba</t>
        </is>
      </c>
      <c r="G83" s="4" t="n">
        <v>641</v>
      </c>
      <c r="H83" t="inlineStr">
        <is>
          <t>No</t>
        </is>
      </c>
      <c r="I83" t="inlineStr">
        <is>
          <t>Rented, On Street</t>
        </is>
      </c>
      <c r="J83" s="5">
        <f>D83*Assumptions!B3</f>
        <v/>
      </c>
      <c r="K83" s="5">
        <f>D83-J83</f>
        <v/>
      </c>
      <c r="L83" s="5">
        <f>-PMT(Assumptions!B2/12,Assumptions!B4*12,K83)</f>
        <v/>
      </c>
      <c r="M83" s="5">
        <f>D83*Assumptions!B5/12</f>
        <v/>
      </c>
      <c r="N83" s="5">
        <f>Assumptions!B6</f>
        <v/>
      </c>
      <c r="O83" s="5">
        <f>Assumptions!B7+Assumptions!B8</f>
        <v/>
      </c>
      <c r="P83" s="5">
        <f>L83+E83+M83+N83+O83</f>
        <v/>
      </c>
      <c r="Q83" s="5" t="n">
        <v>1411</v>
      </c>
      <c r="R83" s="5">
        <f>P83-Q83</f>
        <v/>
      </c>
      <c r="V83" s="8" t="n">
        <v>1.75</v>
      </c>
      <c r="W83" t="inlineStr">
        <is>
          <t>Yellow</t>
        </is>
      </c>
    </row>
    <row r="84">
      <c r="A84" s="9" t="inlineStr">
        <is>
          <t>11 Cogswell Ave APT 15, Cambridge, MA 02140</t>
        </is>
      </c>
      <c r="B84" t="inlineStr">
        <is>
          <t>Cambridge</t>
        </is>
      </c>
      <c r="C84" s="7" t="inlineStr">
        <is>
          <t>https://www.zillow.com/homedetails/11-Cogswell-Ave-APT-15-Cambridge-MA-02140/56437178_zpid/</t>
        </is>
      </c>
      <c r="D84" s="5" t="n">
        <v>550000</v>
      </c>
      <c r="E84" s="5" t="n">
        <v>389</v>
      </c>
      <c r="F84" t="inlineStr">
        <is>
          <t>1bd/1.0ba</t>
        </is>
      </c>
      <c r="G84" s="4" t="n">
        <v>575</v>
      </c>
      <c r="H84" t="inlineStr">
        <is>
          <t>No</t>
        </is>
      </c>
      <c r="I84" t="inlineStr">
        <is>
          <t>Off Street, Paved</t>
        </is>
      </c>
      <c r="J84" s="5">
        <f>D84*Assumptions!B3</f>
        <v/>
      </c>
      <c r="K84" s="5">
        <f>D84-J84</f>
        <v/>
      </c>
      <c r="L84" s="5">
        <f>-PMT(Assumptions!B2/12,Assumptions!B4*12,K84)</f>
        <v/>
      </c>
      <c r="M84" s="5">
        <f>D84*Assumptions!B5/12</f>
        <v/>
      </c>
      <c r="N84" s="5">
        <f>Assumptions!B6</f>
        <v/>
      </c>
      <c r="O84" s="5">
        <f>Assumptions!B7+Assumptions!B8</f>
        <v/>
      </c>
      <c r="P84" s="5">
        <f>L84+E84+M84+N84+O84</f>
        <v/>
      </c>
      <c r="Q84" s="5" t="n">
        <v>1534</v>
      </c>
      <c r="R84" s="5">
        <f>P84-Q84</f>
        <v/>
      </c>
      <c r="V84" s="8" t="n">
        <v>1.75</v>
      </c>
      <c r="W84" t="inlineStr">
        <is>
          <t>Yellow</t>
        </is>
      </c>
    </row>
    <row r="85">
      <c r="A85" s="9" t="inlineStr">
        <is>
          <t>5 Cooney St #3, Somerville, MA 02143</t>
        </is>
      </c>
      <c r="B85" t="inlineStr">
        <is>
          <t>Cambridge</t>
        </is>
      </c>
      <c r="C85" s="7" t="inlineStr">
        <is>
          <t>https://www.zillow.com/homedetails/5-Cooney-St-3-Somerville-MA-02143/120576672_zpid/</t>
        </is>
      </c>
      <c r="D85" s="5" t="n">
        <v>597000</v>
      </c>
      <c r="E85" s="5" t="n">
        <v>200</v>
      </c>
      <c r="F85" t="inlineStr">
        <is>
          <t>3bd/1.0ba</t>
        </is>
      </c>
      <c r="G85" s="4" t="n">
        <v>741</v>
      </c>
      <c r="H85" t="inlineStr">
        <is>
          <t>No</t>
        </is>
      </c>
      <c r="I85" t="inlineStr">
        <is>
          <t>On Street</t>
        </is>
      </c>
      <c r="J85" s="5">
        <f>D85*Assumptions!B3</f>
        <v/>
      </c>
      <c r="K85" s="5">
        <f>D85-J85</f>
        <v/>
      </c>
      <c r="L85" s="5">
        <f>-PMT(Assumptions!B2/12,Assumptions!B4*12,K85)</f>
        <v/>
      </c>
      <c r="M85" s="5">
        <f>D85*Assumptions!B5/12</f>
        <v/>
      </c>
      <c r="N85" s="5">
        <f>Assumptions!B6</f>
        <v/>
      </c>
      <c r="O85" s="5">
        <f>Assumptions!B7+Assumptions!B8</f>
        <v/>
      </c>
      <c r="P85" s="5">
        <f>L85+E85+M85+N85+O85</f>
        <v/>
      </c>
      <c r="Q85" s="5" t="n">
        <v>1216</v>
      </c>
      <c r="R85" s="5">
        <f>P85-Q85</f>
        <v/>
      </c>
      <c r="V85" s="8" t="n">
        <v>1.75</v>
      </c>
      <c r="W85" t="inlineStr">
        <is>
          <t>Yellow</t>
        </is>
      </c>
    </row>
    <row r="86">
      <c r="A86" s="9" t="inlineStr">
        <is>
          <t>40 Chappie St #1, Charlestown, MA 02129</t>
        </is>
      </c>
      <c r="B86" t="inlineStr">
        <is>
          <t>Cambridge</t>
        </is>
      </c>
      <c r="C86" s="7" t="inlineStr">
        <is>
          <t>https://www.zillow.com/homedetails/40-Chappie-St-1-Charlestown-MA-02129/71329755_zpid/</t>
        </is>
      </c>
      <c r="D86" s="5" t="n">
        <v>549500</v>
      </c>
      <c r="E86" s="5" t="n">
        <v>255</v>
      </c>
      <c r="F86" t="inlineStr">
        <is>
          <t>2bd/1.0ba</t>
        </is>
      </c>
      <c r="G86" s="4" t="n">
        <v>821</v>
      </c>
      <c r="H86" t="inlineStr">
        <is>
          <t>No</t>
        </is>
      </c>
      <c r="I86" t="inlineStr">
        <is>
          <t>None listed</t>
        </is>
      </c>
      <c r="J86" s="5">
        <f>D86*Assumptions!B3</f>
        <v/>
      </c>
      <c r="K86" s="5">
        <f>D86-J86</f>
        <v/>
      </c>
      <c r="L86" s="5">
        <f>-PMT(Assumptions!B2/12,Assumptions!B4*12,K86)</f>
        <v/>
      </c>
      <c r="M86" s="5">
        <f>D86*Assumptions!B5/12</f>
        <v/>
      </c>
      <c r="N86" s="5">
        <f>Assumptions!B6</f>
        <v/>
      </c>
      <c r="O86" s="5">
        <f>Assumptions!B7+Assumptions!B8</f>
        <v/>
      </c>
      <c r="P86" s="5">
        <f>L86+E86+M86+N86+O86</f>
        <v/>
      </c>
      <c r="Q86" s="5" t="n">
        <v>1876</v>
      </c>
      <c r="R86" s="5">
        <f>P86-Q86</f>
        <v/>
      </c>
      <c r="V86" s="8" t="n">
        <v>1.75</v>
      </c>
      <c r="W86" t="inlineStr">
        <is>
          <t>Yellow</t>
        </is>
      </c>
    </row>
    <row r="87">
      <c r="A87" s="9" t="inlineStr">
        <is>
          <t>390 Riverway APT 24, Boston, MA 02115</t>
        </is>
      </c>
      <c r="B87" t="inlineStr">
        <is>
          <t>Brookline</t>
        </is>
      </c>
      <c r="C87" s="7" t="inlineStr">
        <is>
          <t>https://www.zillow.com/homedetails/390-Riverway-APT-24-Boston-MA-02115/59171376_zpid/</t>
        </is>
      </c>
      <c r="D87" s="5" t="n">
        <v>479000</v>
      </c>
      <c r="E87" s="5" t="n">
        <v>423</v>
      </c>
      <c r="F87" t="inlineStr">
        <is>
          <t>1bd/1.0ba</t>
        </is>
      </c>
      <c r="G87" s="4" t="n">
        <v>555</v>
      </c>
      <c r="H87" t="inlineStr">
        <is>
          <t>No</t>
        </is>
      </c>
      <c r="I87" t="inlineStr">
        <is>
          <t>None listed</t>
        </is>
      </c>
      <c r="J87" s="5">
        <f>D87*Assumptions!B3</f>
        <v/>
      </c>
      <c r="K87" s="5">
        <f>D87-J87</f>
        <v/>
      </c>
      <c r="L87" s="5">
        <f>-PMT(Assumptions!B2/12,Assumptions!B4*12,K87)</f>
        <v/>
      </c>
      <c r="M87" s="5">
        <f>D87*Assumptions!B5/12</f>
        <v/>
      </c>
      <c r="N87" s="5">
        <f>Assumptions!B6</f>
        <v/>
      </c>
      <c r="O87" s="5">
        <f>Assumptions!B7+Assumptions!B8</f>
        <v/>
      </c>
      <c r="P87" s="5">
        <f>L87+E87+M87+N87+O87</f>
        <v/>
      </c>
      <c r="Q87" s="5" t="n">
        <v>1548</v>
      </c>
      <c r="R87" s="5">
        <f>P87-Q87</f>
        <v/>
      </c>
      <c r="V87" s="8" t="n">
        <v>1.75</v>
      </c>
      <c r="W87" t="inlineStr">
        <is>
          <t>Yellow</t>
        </is>
      </c>
    </row>
    <row r="88">
      <c r="A88" s="9" t="inlineStr">
        <is>
          <t>120 Wyllis Ave Unit 401, Everett, MA 02149</t>
        </is>
      </c>
      <c r="B88" t="inlineStr">
        <is>
          <t>Medford</t>
        </is>
      </c>
      <c r="C88" s="7" t="inlineStr">
        <is>
          <t>https://www.zillow.com/homedetails/120-Wyllis-Ave-UNIT-401-Everett-MA-02149/87868278_zpid/</t>
        </is>
      </c>
      <c r="D88" s="5" t="n">
        <v>598000</v>
      </c>
      <c r="E88" s="5" t="n">
        <v>472</v>
      </c>
      <c r="F88" t="inlineStr">
        <is>
          <t>1bd/2.0ba</t>
        </is>
      </c>
      <c r="G88" s="4" t="n">
        <v>1413</v>
      </c>
      <c r="H88" t="inlineStr">
        <is>
          <t>No</t>
        </is>
      </c>
      <c r="I88" t="inlineStr">
        <is>
          <t>Garage</t>
        </is>
      </c>
      <c r="J88" s="5">
        <f>D88*Assumptions!B3</f>
        <v/>
      </c>
      <c r="K88" s="5">
        <f>D88-J88</f>
        <v/>
      </c>
      <c r="L88" s="5">
        <f>-PMT(Assumptions!B2/12,Assumptions!B4*12,K88)</f>
        <v/>
      </c>
      <c r="M88" s="5">
        <f>D88*Assumptions!B5/12</f>
        <v/>
      </c>
      <c r="N88" s="5">
        <f>Assumptions!B6</f>
        <v/>
      </c>
      <c r="O88" s="5">
        <f>Assumptions!B7+Assumptions!B8</f>
        <v/>
      </c>
      <c r="P88" s="5">
        <f>L88+E88+M88+N88+O88</f>
        <v/>
      </c>
      <c r="Q88" s="5" t="n">
        <v>1852</v>
      </c>
      <c r="R88" s="5">
        <f>P88-Q88</f>
        <v/>
      </c>
      <c r="V88" s="8" t="n">
        <v>1.75</v>
      </c>
      <c r="W88" t="inlineStr">
        <is>
          <t>Yellow</t>
        </is>
      </c>
    </row>
    <row r="89">
      <c r="A89" s="9" t="inlineStr">
        <is>
          <t>50-56 Leo M Birmingham Pkwy #303, Boston, MA 02135</t>
        </is>
      </c>
      <c r="B89" t="inlineStr">
        <is>
          <t>Watertown</t>
        </is>
      </c>
      <c r="C89" s="7" t="inlineStr">
        <is>
          <t>https://www.zillow.com/homedetails/50-56-Leo-M-Birmingham-Pkwy-303-Boston-MA-02135/2068433731_zpid/</t>
        </is>
      </c>
      <c r="D89" s="5" t="n">
        <v>598000</v>
      </c>
      <c r="E89" s="5" t="n">
        <v>466</v>
      </c>
      <c r="F89" t="inlineStr">
        <is>
          <t>1bd/1.0ba</t>
        </is>
      </c>
      <c r="G89" s="4" t="n">
        <v>708</v>
      </c>
      <c r="H89" t="inlineStr">
        <is>
          <t>No</t>
        </is>
      </c>
      <c r="I89" t="inlineStr">
        <is>
          <t>Under, Deeded</t>
        </is>
      </c>
      <c r="J89" s="5">
        <f>D89*Assumptions!B3</f>
        <v/>
      </c>
      <c r="K89" s="5">
        <f>D89-J89</f>
        <v/>
      </c>
      <c r="L89" s="5">
        <f>-PMT(Assumptions!B2/12,Assumptions!B4*12,K89)</f>
        <v/>
      </c>
      <c r="M89" s="5">
        <f>D89*Assumptions!B5/12</f>
        <v/>
      </c>
      <c r="N89" s="5">
        <f>Assumptions!B6</f>
        <v/>
      </c>
      <c r="O89" s="5">
        <f>Assumptions!B7+Assumptions!B8</f>
        <v/>
      </c>
      <c r="P89" s="5">
        <f>L89+E89+M89+N89+O89</f>
        <v/>
      </c>
      <c r="Q89" s="5" t="n">
        <v>1743</v>
      </c>
      <c r="R89" s="5">
        <f>P89-Q89</f>
        <v/>
      </c>
      <c r="V89" s="8" t="n">
        <v>1.7</v>
      </c>
      <c r="W89" t="inlineStr">
        <is>
          <t>Yellow</t>
        </is>
      </c>
    </row>
    <row r="90">
      <c r="A90" s="10" t="inlineStr">
        <is>
          <t>39 Commonwealth Ave APT 31, Newton, MA 02467</t>
        </is>
      </c>
      <c r="B90" t="inlineStr">
        <is>
          <t>Newton</t>
        </is>
      </c>
      <c r="C90" s="7" t="inlineStr">
        <is>
          <t>https://www.zillow.com/homedetails/39-Commonwealth-Ave-APT-31-Newton-MA-02467/56316564_zpid/</t>
        </is>
      </c>
      <c r="D90" s="5" t="n">
        <v>529000</v>
      </c>
      <c r="E90" s="5" t="n">
        <v>430</v>
      </c>
      <c r="F90" t="inlineStr">
        <is>
          <t>1bd/1.0ba</t>
        </is>
      </c>
      <c r="G90" s="4" t="n">
        <v>695</v>
      </c>
      <c r="H90" t="inlineStr">
        <is>
          <t>No</t>
        </is>
      </c>
      <c r="I90" t="inlineStr">
        <is>
          <t>Off Street, Deeded</t>
        </is>
      </c>
      <c r="J90" s="5">
        <f>D90*Assumptions!B3</f>
        <v/>
      </c>
      <c r="K90" s="5">
        <f>D90-J90</f>
        <v/>
      </c>
      <c r="L90" s="5">
        <f>-PMT(Assumptions!B2/12,Assumptions!B4*12,K90)</f>
        <v/>
      </c>
      <c r="M90" s="5">
        <f>D90*Assumptions!B5/12</f>
        <v/>
      </c>
      <c r="N90" s="5">
        <f>Assumptions!B6</f>
        <v/>
      </c>
      <c r="O90" s="5">
        <f>Assumptions!B7+Assumptions!B8</f>
        <v/>
      </c>
      <c r="P90" s="5">
        <f>L90+E90+M90+N90+O90</f>
        <v/>
      </c>
      <c r="Q90" s="5" t="n">
        <v>1632</v>
      </c>
      <c r="R90" s="5">
        <f>P90-Q90</f>
        <v/>
      </c>
      <c r="V90" s="8" t="n">
        <v>1.65</v>
      </c>
      <c r="W90" t="inlineStr">
        <is>
          <t>Red</t>
        </is>
      </c>
    </row>
    <row r="91">
      <c r="A91" s="10" t="inlineStr">
        <is>
          <t>99 Tremont St #105, Boston, MA 02135</t>
        </is>
      </c>
      <c r="B91" t="inlineStr">
        <is>
          <t>Newton</t>
        </is>
      </c>
      <c r="C91" s="7" t="inlineStr">
        <is>
          <t>https://www.zillow.com/homedetails/99-Tremont-St-105-Boston-MA-02135/2090070412_zpid/</t>
        </is>
      </c>
      <c r="D91" s="5" t="n">
        <v>520000</v>
      </c>
      <c r="E91" s="5" t="n">
        <v>437</v>
      </c>
      <c r="F91" t="inlineStr">
        <is>
          <t>?bd/1.0ba</t>
        </is>
      </c>
      <c r="G91" s="4" t="n">
        <v>616</v>
      </c>
      <c r="H91" t="inlineStr">
        <is>
          <t>No</t>
        </is>
      </c>
      <c r="I91" t="inlineStr">
        <is>
          <t>Assigned, Deeded</t>
        </is>
      </c>
      <c r="J91" s="5">
        <f>D91*Assumptions!B3</f>
        <v/>
      </c>
      <c r="K91" s="5">
        <f>D91-J91</f>
        <v/>
      </c>
      <c r="L91" s="5">
        <f>-PMT(Assumptions!B2/12,Assumptions!B4*12,K91)</f>
        <v/>
      </c>
      <c r="M91" s="5">
        <f>D91*Assumptions!B5/12</f>
        <v/>
      </c>
      <c r="N91" s="5">
        <f>Assumptions!B6</f>
        <v/>
      </c>
      <c r="O91" s="5">
        <f>Assumptions!B7+Assumptions!B8</f>
        <v/>
      </c>
      <c r="P91" s="5">
        <f>L91+E91+M91+N91+O91</f>
        <v/>
      </c>
      <c r="Q91" s="5" t="n">
        <v>1353</v>
      </c>
      <c r="R91" s="5">
        <f>P91-Q91</f>
        <v/>
      </c>
      <c r="V91" s="8" t="n">
        <v>1.65</v>
      </c>
      <c r="W91" t="inlineStr">
        <is>
          <t>Red</t>
        </is>
      </c>
    </row>
    <row r="92">
      <c r="A92" s="10" t="inlineStr">
        <is>
          <t>56 Commonwealth Ave APT 53, Boston, MA 02116</t>
        </is>
      </c>
      <c r="B92" t="inlineStr">
        <is>
          <t>Cambridge</t>
        </is>
      </c>
      <c r="C92" s="7" t="inlineStr">
        <is>
          <t>https://www.zillow.com/homedetails/56-Commonwealth-Ave-APT-53-Boston-MA-02116/59176404_zpid/</t>
        </is>
      </c>
      <c r="D92" s="5" t="n">
        <v>549000</v>
      </c>
      <c r="E92" s="5" t="n">
        <v>267</v>
      </c>
      <c r="F92" t="inlineStr">
        <is>
          <t>?bd/1.0ba</t>
        </is>
      </c>
      <c r="G92" s="4" t="n">
        <v>340</v>
      </c>
      <c r="H92" t="inlineStr">
        <is>
          <t>No</t>
        </is>
      </c>
      <c r="I92" t="inlineStr">
        <is>
          <t>None listed</t>
        </is>
      </c>
      <c r="J92" s="5">
        <f>D92*Assumptions!B3</f>
        <v/>
      </c>
      <c r="K92" s="5">
        <f>D92-J92</f>
        <v/>
      </c>
      <c r="L92" s="5">
        <f>-PMT(Assumptions!B2/12,Assumptions!B4*12,K92)</f>
        <v/>
      </c>
      <c r="M92" s="5">
        <f>D92*Assumptions!B5/12</f>
        <v/>
      </c>
      <c r="N92" s="5">
        <f>Assumptions!B6</f>
        <v/>
      </c>
      <c r="O92" s="5">
        <f>Assumptions!B7+Assumptions!B8</f>
        <v/>
      </c>
      <c r="P92" s="5">
        <f>L92+E92+M92+N92+O92</f>
        <v/>
      </c>
      <c r="Q92" s="5" t="n">
        <v>1773</v>
      </c>
      <c r="R92" s="5">
        <f>P92-Q92</f>
        <v/>
      </c>
      <c r="V92" s="8" t="n">
        <v>1.65</v>
      </c>
      <c r="W92" t="inlineStr">
        <is>
          <t>Red</t>
        </is>
      </c>
    </row>
    <row r="93">
      <c r="A93" s="10" t="inlineStr">
        <is>
          <t>483 Beacon St APT 37, Boston, MA 02115</t>
        </is>
      </c>
      <c r="B93" t="inlineStr">
        <is>
          <t>Cambridge</t>
        </is>
      </c>
      <c r="C93" s="7" t="inlineStr">
        <is>
          <t>https://www.zillow.com/homedetails/483-Beacon-St-APT-37-Boston-MA-02115/59169165_zpid/</t>
        </is>
      </c>
      <c r="D93" s="5" t="n">
        <v>580000</v>
      </c>
      <c r="E93" s="5" t="n">
        <v>350</v>
      </c>
      <c r="F93" t="inlineStr">
        <is>
          <t>1bd/1.0ba</t>
        </is>
      </c>
      <c r="G93" s="4" t="n">
        <v>480</v>
      </c>
      <c r="H93" t="inlineStr">
        <is>
          <t>No</t>
        </is>
      </c>
      <c r="I93" t="inlineStr">
        <is>
          <t>None listed</t>
        </is>
      </c>
      <c r="J93" s="5">
        <f>D93*Assumptions!B3</f>
        <v/>
      </c>
      <c r="K93" s="5">
        <f>D93-J93</f>
        <v/>
      </c>
      <c r="L93" s="5">
        <f>-PMT(Assumptions!B2/12,Assumptions!B4*12,K93)</f>
        <v/>
      </c>
      <c r="M93" s="5">
        <f>D93*Assumptions!B5/12</f>
        <v/>
      </c>
      <c r="N93" s="5">
        <f>Assumptions!B6</f>
        <v/>
      </c>
      <c r="O93" s="5">
        <f>Assumptions!B7+Assumptions!B8</f>
        <v/>
      </c>
      <c r="P93" s="5">
        <f>L93+E93+M93+N93+O93</f>
        <v/>
      </c>
      <c r="Q93" s="5" t="n">
        <v>1787</v>
      </c>
      <c r="R93" s="5">
        <f>P93-Q93</f>
        <v/>
      </c>
      <c r="V93" s="8" t="n">
        <v>1.65</v>
      </c>
      <c r="W93" t="inlineStr">
        <is>
          <t>Red</t>
        </is>
      </c>
    </row>
    <row r="94">
      <c r="A94" s="10" t="inlineStr">
        <is>
          <t>148 Berkshire St APT 4, Cambridge, MA 02141</t>
        </is>
      </c>
      <c r="B94" t="inlineStr">
        <is>
          <t>Cambridge</t>
        </is>
      </c>
      <c r="C94" s="7" t="inlineStr">
        <is>
          <t>https://www.zillow.com/homedetails/148-Berkshire-St-APT-4-Cambridge-MA-02141/458474348_zpid/</t>
        </is>
      </c>
      <c r="D94" s="5" t="n">
        <v>535000</v>
      </c>
      <c r="E94" s="5" t="n">
        <v>301</v>
      </c>
      <c r="F94" t="inlineStr">
        <is>
          <t>1bd/1.0ba</t>
        </is>
      </c>
      <c r="G94" s="4" t="n">
        <v>530</v>
      </c>
      <c r="H94" t="inlineStr">
        <is>
          <t>No</t>
        </is>
      </c>
      <c r="I94" t="inlineStr">
        <is>
          <t>None listed</t>
        </is>
      </c>
      <c r="J94" s="5">
        <f>D94*Assumptions!B3</f>
        <v/>
      </c>
      <c r="K94" s="5">
        <f>D94-J94</f>
        <v/>
      </c>
      <c r="L94" s="5">
        <f>-PMT(Assumptions!B2/12,Assumptions!B4*12,K94)</f>
        <v/>
      </c>
      <c r="M94" s="5">
        <f>D94*Assumptions!B5/12</f>
        <v/>
      </c>
      <c r="N94" s="5">
        <f>Assumptions!B6</f>
        <v/>
      </c>
      <c r="O94" s="5">
        <f>Assumptions!B7+Assumptions!B8</f>
        <v/>
      </c>
      <c r="P94" s="5">
        <f>L94+E94+M94+N94+O94</f>
        <v/>
      </c>
      <c r="Q94" s="5" t="n">
        <v>1566</v>
      </c>
      <c r="R94" s="5">
        <f>P94-Q94</f>
        <v/>
      </c>
      <c r="V94" s="8" t="n">
        <v>1.65</v>
      </c>
      <c r="W94" t="inlineStr">
        <is>
          <t>Red</t>
        </is>
      </c>
    </row>
    <row r="95">
      <c r="A95" s="10" t="inlineStr">
        <is>
          <t>65 Strathmore Rd APT 49, Brighton, MA 02135</t>
        </is>
      </c>
      <c r="B95" t="inlineStr">
        <is>
          <t>Brighton</t>
        </is>
      </c>
      <c r="C95" s="7" t="inlineStr">
        <is>
          <t>https://www.zillow.com/homedetails/65-Strathmore-Rd-APT-49-Brighton-MA-02135/59093618_zpid/</t>
        </is>
      </c>
      <c r="D95" s="5" t="n">
        <v>530000</v>
      </c>
      <c r="E95" s="5" t="n">
        <v>483</v>
      </c>
      <c r="F95" t="inlineStr">
        <is>
          <t>1bd/1.0ba</t>
        </is>
      </c>
      <c r="G95" s="4" t="n">
        <v>764</v>
      </c>
      <c r="H95" t="inlineStr">
        <is>
          <t>No</t>
        </is>
      </c>
      <c r="I95" t="inlineStr">
        <is>
          <t>None listed</t>
        </is>
      </c>
      <c r="J95" s="5">
        <f>D95*Assumptions!B3</f>
        <v/>
      </c>
      <c r="K95" s="5">
        <f>D95-J95</f>
        <v/>
      </c>
      <c r="L95" s="5">
        <f>-PMT(Assumptions!B2/12,Assumptions!B4*12,K95)</f>
        <v/>
      </c>
      <c r="M95" s="5">
        <f>D95*Assumptions!B5/12</f>
        <v/>
      </c>
      <c r="N95" s="5">
        <f>Assumptions!B6</f>
        <v/>
      </c>
      <c r="O95" s="5">
        <f>Assumptions!B7+Assumptions!B8</f>
        <v/>
      </c>
      <c r="P95" s="5">
        <f>L95+E95+M95+N95+O95</f>
        <v/>
      </c>
      <c r="Q95" s="5" t="n">
        <v>1528</v>
      </c>
      <c r="R95" s="5">
        <f>P95-Q95</f>
        <v/>
      </c>
      <c r="V95" s="8" t="n">
        <v>1.6</v>
      </c>
      <c r="W95" t="inlineStr">
        <is>
          <t>Red</t>
        </is>
      </c>
    </row>
    <row r="96">
      <c r="A96" s="10" t="inlineStr">
        <is>
          <t>138 Quincy Shore Dr Unit 170, Quincy, MA 02171</t>
        </is>
      </c>
      <c r="B96" t="inlineStr">
        <is>
          <t>Quincy</t>
        </is>
      </c>
      <c r="C96" s="7" t="inlineStr">
        <is>
          <t>https://www.zillow.com/homedetails/138-Quincy-Shore-Dr-UNIT-170-Quincy-MA-02171/56601722_zpid/</t>
        </is>
      </c>
      <c r="D96" s="5" t="n">
        <v>589999</v>
      </c>
      <c r="E96" s="5" t="n">
        <v>497</v>
      </c>
      <c r="F96" t="inlineStr">
        <is>
          <t>2bd/3.0ba</t>
        </is>
      </c>
      <c r="G96" s="4" t="n">
        <v>1460</v>
      </c>
      <c r="H96" t="inlineStr">
        <is>
          <t>No</t>
        </is>
      </c>
      <c r="I96" t="inlineStr">
        <is>
          <t>Common, Off Street, Paved</t>
        </is>
      </c>
      <c r="J96" s="5">
        <f>D96*Assumptions!B3</f>
        <v/>
      </c>
      <c r="K96" s="5">
        <f>D96-J96</f>
        <v/>
      </c>
      <c r="L96" s="5">
        <f>-PMT(Assumptions!B2/12,Assumptions!B4*12,K96)</f>
        <v/>
      </c>
      <c r="M96" s="5">
        <f>D96*Assumptions!B5/12</f>
        <v/>
      </c>
      <c r="N96" s="5">
        <f>Assumptions!B6</f>
        <v/>
      </c>
      <c r="O96" s="5">
        <f>Assumptions!B7+Assumptions!B8</f>
        <v/>
      </c>
      <c r="P96" s="5">
        <f>L96+E96+M96+N96+O96</f>
        <v/>
      </c>
      <c r="Q96" s="5" t="n">
        <v>1521</v>
      </c>
      <c r="R96" s="5">
        <f>P96-Q96</f>
        <v/>
      </c>
      <c r="V96" s="8" t="n">
        <v>1.55</v>
      </c>
      <c r="W96" t="inlineStr">
        <is>
          <t>Red</t>
        </is>
      </c>
    </row>
    <row r="97">
      <c r="A97" s="10" t="inlineStr">
        <is>
          <t>7 Hereford St APT 8, Boston, MA 02115</t>
        </is>
      </c>
      <c r="B97" t="inlineStr">
        <is>
          <t>Cambridge</t>
        </is>
      </c>
      <c r="C97" s="7" t="inlineStr">
        <is>
          <t>https://www.zillow.com/homedetails/7-Hereford-St-APT-8-Boston-MA-02115/59169276_zpid/</t>
        </is>
      </c>
      <c r="D97" s="5" t="n">
        <v>599000</v>
      </c>
      <c r="E97" s="5" t="n">
        <v>400</v>
      </c>
      <c r="F97" t="inlineStr">
        <is>
          <t>1bd/1.0ba</t>
        </is>
      </c>
      <c r="G97" s="4" t="n">
        <v>440</v>
      </c>
      <c r="H97" t="inlineStr">
        <is>
          <t>No</t>
        </is>
      </c>
      <c r="I97" t="inlineStr">
        <is>
          <t>None listed</t>
        </is>
      </c>
      <c r="J97" s="5">
        <f>D97*Assumptions!B3</f>
        <v/>
      </c>
      <c r="K97" s="5">
        <f>D97-J97</f>
        <v/>
      </c>
      <c r="L97" s="5">
        <f>-PMT(Assumptions!B2/12,Assumptions!B4*12,K97)</f>
        <v/>
      </c>
      <c r="M97" s="5">
        <f>D97*Assumptions!B5/12</f>
        <v/>
      </c>
      <c r="N97" s="5">
        <f>Assumptions!B6</f>
        <v/>
      </c>
      <c r="O97" s="5">
        <f>Assumptions!B7+Assumptions!B8</f>
        <v/>
      </c>
      <c r="P97" s="5">
        <f>L97+E97+M97+N97+O97</f>
        <v/>
      </c>
      <c r="Q97" s="5" t="n">
        <v>1718</v>
      </c>
      <c r="R97" s="5">
        <f>P97-Q97</f>
        <v/>
      </c>
      <c r="V97" s="8" t="n">
        <v>1.55</v>
      </c>
      <c r="W97" t="inlineStr">
        <is>
          <t>Red</t>
        </is>
      </c>
    </row>
    <row r="98">
      <c r="A98" s="10" t="inlineStr">
        <is>
          <t>364 Marlborough St APT 8, Boston, MA 02115</t>
        </is>
      </c>
      <c r="B98" t="inlineStr">
        <is>
          <t>Cambridge</t>
        </is>
      </c>
      <c r="C98" s="7" t="inlineStr">
        <is>
          <t>https://www.zillow.com/homedetails/364-Marlborough-St-APT-8-Boston-MA-02115/59167303_zpid/</t>
        </is>
      </c>
      <c r="D98" s="5" t="n">
        <v>527000</v>
      </c>
      <c r="E98" s="5" t="n">
        <v>446</v>
      </c>
      <c r="F98" t="inlineStr">
        <is>
          <t>1bd/1.0ba</t>
        </is>
      </c>
      <c r="G98" s="4" t="n">
        <v>411</v>
      </c>
      <c r="H98" t="inlineStr">
        <is>
          <t>No</t>
        </is>
      </c>
      <c r="I98" t="inlineStr">
        <is>
          <t>None listed</t>
        </is>
      </c>
      <c r="J98" s="5">
        <f>D98*Assumptions!B3</f>
        <v/>
      </c>
      <c r="K98" s="5">
        <f>D98-J98</f>
        <v/>
      </c>
      <c r="L98" s="5">
        <f>-PMT(Assumptions!B2/12,Assumptions!B4*12,K98)</f>
        <v/>
      </c>
      <c r="M98" s="5">
        <f>D98*Assumptions!B5/12</f>
        <v/>
      </c>
      <c r="N98" s="5">
        <f>Assumptions!B6</f>
        <v/>
      </c>
      <c r="O98" s="5">
        <f>Assumptions!B7+Assumptions!B8</f>
        <v/>
      </c>
      <c r="P98" s="5">
        <f>L98+E98+M98+N98+O98</f>
        <v/>
      </c>
      <c r="Q98" s="5" t="n">
        <v>1666</v>
      </c>
      <c r="R98" s="5">
        <f>P98-Q98</f>
        <v/>
      </c>
      <c r="V98" s="8" t="n">
        <v>1.55</v>
      </c>
      <c r="W98" t="inlineStr">
        <is>
          <t>Red</t>
        </is>
      </c>
    </row>
    <row r="99">
      <c r="A99" s="10" t="inlineStr">
        <is>
          <t>863 Massachusetts Ave APT 25, Cambridge, MA 02139</t>
        </is>
      </c>
      <c r="B99" t="inlineStr">
        <is>
          <t>Cambridge</t>
        </is>
      </c>
      <c r="C99" s="7" t="inlineStr">
        <is>
          <t>https://www.zillow.com/homedetails/863-Massachusetts-Ave-APT-25-Cambridge-MA-02139/56431258_zpid/</t>
        </is>
      </c>
      <c r="D99" s="5" t="n">
        <v>549000</v>
      </c>
      <c r="E99" s="5" t="n">
        <v>434</v>
      </c>
      <c r="F99" t="inlineStr">
        <is>
          <t>1bd/1.0ba</t>
        </is>
      </c>
      <c r="G99" s="4" t="n">
        <v>450</v>
      </c>
      <c r="H99" t="inlineStr">
        <is>
          <t>No</t>
        </is>
      </c>
      <c r="I99" t="inlineStr">
        <is>
          <t>None listed</t>
        </is>
      </c>
      <c r="J99" s="5">
        <f>D99*Assumptions!B3</f>
        <v/>
      </c>
      <c r="K99" s="5">
        <f>D99-J99</f>
        <v/>
      </c>
      <c r="L99" s="5">
        <f>-PMT(Assumptions!B2/12,Assumptions!B4*12,K99)</f>
        <v/>
      </c>
      <c r="M99" s="5">
        <f>D99*Assumptions!B5/12</f>
        <v/>
      </c>
      <c r="N99" s="5">
        <f>Assumptions!B6</f>
        <v/>
      </c>
      <c r="O99" s="5">
        <f>Assumptions!B7+Assumptions!B8</f>
        <v/>
      </c>
      <c r="P99" s="5">
        <f>L99+E99+M99+N99+O99</f>
        <v/>
      </c>
      <c r="Q99" s="5" t="n">
        <v>1584</v>
      </c>
      <c r="R99" s="5">
        <f>P99-Q99</f>
        <v/>
      </c>
      <c r="V99" s="8" t="n">
        <v>1.55</v>
      </c>
      <c r="W99" t="inlineStr">
        <is>
          <t>Red</t>
        </is>
      </c>
    </row>
  </sheetData>
  <conditionalFormatting sqref="W2:W99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2026-02-19T00:23:55Z</dcterms:created>
  <dcterms:modified xsi:type="dcterms:W3CDTF">2026-02-19T00:23:55Z</dcterms:modified>
</cp:coreProperties>
</file>