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Chestnut-Hill/60-Bryon-Rd-02467/unit-1/home/9204335" TargetMode="External" Id="rId1"/><Relationship Type="http://schemas.openxmlformats.org/officeDocument/2006/relationships/hyperlink" Target="https://www.redfin.com/MA/Quincy/212-Quincy-Shore-Dr-02171/home/9009303" TargetMode="External" Id="rId2"/><Relationship Type="http://schemas.openxmlformats.org/officeDocument/2006/relationships/hyperlink" Target="https://www.redfin.com/MA/Newton/975-Washington-St-02460/home/199915977" TargetMode="External" Id="rId3"/><Relationship Type="http://schemas.openxmlformats.org/officeDocument/2006/relationships/hyperlink" Target="https://www.redfin.com/MA/Brighton/7-Cypress-Rd-02135/unit-703/home/9016137" TargetMode="External" Id="rId4"/><Relationship Type="http://schemas.openxmlformats.org/officeDocument/2006/relationships/hyperlink" Target="https://www.redfin.com/MA/Brighton/88-Gordon-St-02135/unit-305/home/9012102" TargetMode="External" Id="rId5"/><Relationship Type="http://schemas.openxmlformats.org/officeDocument/2006/relationships/hyperlink" Target="https://www.redfin.com/MA/Brighton/198-Allston-St-02135/unit-3/home/9013031" TargetMode="External" Id="rId6"/><Relationship Type="http://schemas.openxmlformats.org/officeDocument/2006/relationships/hyperlink" Target="https://www.redfin.com/MA/Medford/0-Gordon-Rd-02155/home/187063221" TargetMode="External" Id="rId7"/><Relationship Type="http://schemas.openxmlformats.org/officeDocument/2006/relationships/hyperlink" Target="https://www.redfin.com/MA/Quincy/18-Allerton-St-02169/home/110011603" TargetMode="External" Id="rId8"/><Relationship Type="http://schemas.openxmlformats.org/officeDocument/2006/relationships/hyperlink" Target="https://www.redfin.com/MA/Brighton/461-Washington-St-02135/unit-301/home/11503967" TargetMode="External" Id="rId9"/><Relationship Type="http://schemas.openxmlformats.org/officeDocument/2006/relationships/hyperlink" Target="https://www.redfin.com/MA/Allston/10-Scottfield-Rd-02134/unit-2/home/9000250" TargetMode="External" Id="rId10"/><Relationship Type="http://schemas.openxmlformats.org/officeDocument/2006/relationships/hyperlink" Target="https://www.redfin.com/MA/Somerville/8-Avon-St-02143/unit-10/home/8759429" TargetMode="External" Id="rId11"/><Relationship Type="http://schemas.openxmlformats.org/officeDocument/2006/relationships/hyperlink" Target="https://www.redfin.com/MA/Cambridge/199-Prospect-St-02139/unit-A1/home/110093910" TargetMode="External" Id="rId12"/><Relationship Type="http://schemas.openxmlformats.org/officeDocument/2006/relationships/hyperlink" Target="https://www.redfin.com/MA/Watertown/186-Lexington-St-02472/unit-8/home/11690422" TargetMode="External" Id="rId13"/><Relationship Type="http://schemas.openxmlformats.org/officeDocument/2006/relationships/hyperlink" Target="https://www.redfin.com/MA/Watertown/194-Lexington-St-02472/unit-1/home/11690433" TargetMode="External" Id="rId14"/><Relationship Type="http://schemas.openxmlformats.org/officeDocument/2006/relationships/hyperlink" Target="https://www.redfin.com/MA/Watertown/133-Warren-St-02472/unit-3/home/11690534" TargetMode="External" Id="rId15"/><Relationship Type="http://schemas.openxmlformats.org/officeDocument/2006/relationships/hyperlink" Target="https://www.redfin.com/MA/Watertown/38-Carey-Ave-02472/unit-3/home/11690323" TargetMode="External" Id="rId16"/><Relationship Type="http://schemas.openxmlformats.org/officeDocument/2006/relationships/hyperlink" Target="https://www.redfin.com/MA/Quincy/59-Terne-Rd-02169/home/11828578" TargetMode="External" Id="rId17"/><Relationship Type="http://schemas.openxmlformats.org/officeDocument/2006/relationships/hyperlink" Target="https://www.redfin.com/MA/Brighton/1564-Commonwealth-Ave-02135/unit-3/home/9017145" TargetMode="External" Id="rId18"/><Relationship Type="http://schemas.openxmlformats.org/officeDocument/2006/relationships/hyperlink" Target="https://www.redfin.com/MA/Allston/45-Gordon-St-02134/unit-4/home/8999903" TargetMode="External" Id="rId19"/><Relationship Type="http://schemas.openxmlformats.org/officeDocument/2006/relationships/hyperlink" Target="https://www.redfin.com/MA/Boston/69-Park-Dr-02215/unit-10/home/9274080" TargetMode="External" Id="rId20"/><Relationship Type="http://schemas.openxmlformats.org/officeDocument/2006/relationships/hyperlink" Target="https://www.redfin.com/MA/Somerville/7-Mortimer-Pl-02145/unit-2/home/12389682" TargetMode="External" Id="rId21"/><Relationship Type="http://schemas.openxmlformats.org/officeDocument/2006/relationships/hyperlink" Target="https://www.redfin.com/MA/Quincy/195-Thomas-Burgin-Pkwy-02169/unit-301/home/8931809" TargetMode="External" Id="rId22"/><Relationship Type="http://schemas.openxmlformats.org/officeDocument/2006/relationships/hyperlink" Target="https://www.redfin.com/MA/Quincy/195-Thomas-Burgin-Pkwy-02169/unit-212/home/8931803" TargetMode="External" Id="rId23"/><Relationship Type="http://schemas.openxmlformats.org/officeDocument/2006/relationships/hyperlink" Target="https://www.redfin.com/MA/Waltham/10-Naviens-Ln-02453/unit-1/home/76478882" TargetMode="External" Id="rId24"/><Relationship Type="http://schemas.openxmlformats.org/officeDocument/2006/relationships/hyperlink" Target="https://www.redfin.com/MA/Chestnut-Hill/66-Bryon-Rd-02467/unit-2/home/9204203" TargetMode="External" Id="rId25"/><Relationship Type="http://schemas.openxmlformats.org/officeDocument/2006/relationships/hyperlink" Target="https://www.redfin.com/MA/Brighton/5-Braemore-Rd-02135/unit-10/home/9308549" TargetMode="External" Id="rId26"/><Relationship Type="http://schemas.openxmlformats.org/officeDocument/2006/relationships/hyperlink" Target="https://www.redfin.com/MA/Chestnut-Hill/64-Bryon-Rd-02467/unit-1/home/9204182" TargetMode="External" Id="rId27"/><Relationship Type="http://schemas.openxmlformats.org/officeDocument/2006/relationships/hyperlink" Target="https://www.redfin.com/MA/Brighton/1641-Commonwealth-Ave-02135/unit-16/home/9002891" TargetMode="External" Id="rId28"/><Relationship Type="http://schemas.openxmlformats.org/officeDocument/2006/relationships/hyperlink" Target="https://www.redfin.com/MA/Allston/239-Kelton-St-02134/unit-41/home/9001010" TargetMode="External" Id="rId29"/><Relationship Type="http://schemas.openxmlformats.org/officeDocument/2006/relationships/hyperlink" Target="https://www.redfin.com/MA/Boston/466-Commonwealth-Ave-02215/unit-305/home/9269210" TargetMode="External" Id="rId30"/><Relationship Type="http://schemas.openxmlformats.org/officeDocument/2006/relationships/hyperlink" Target="https://www.redfin.com/MA/Boston/64-Queensberry-St-02215/unit-114/home/9241481" TargetMode="External" Id="rId31"/><Relationship Type="http://schemas.openxmlformats.org/officeDocument/2006/relationships/hyperlink" Target="https://www.redfin.com/MA/Medford/32-Almont-St-02155/unit-32-1/home/11802621" TargetMode="External" Id="rId32"/><Relationship Type="http://schemas.openxmlformats.org/officeDocument/2006/relationships/hyperlink" Target="https://www.redfin.com/MA/Somerville/84-Grant-St-02145/unit-12/home/8758283" TargetMode="External" Id="rId33"/><Relationship Type="http://schemas.openxmlformats.org/officeDocument/2006/relationships/hyperlink" Target="https://www.redfin.com/MA/Medford/500-Salem-St-02155/unit-307/home/11784227" TargetMode="External" Id="rId34"/><Relationship Type="http://schemas.openxmlformats.org/officeDocument/2006/relationships/hyperlink" Target="https://www.redfin.com/MA/Cambridge/872-Massachusetts-Ave-02139/unit-303/home/136730647" TargetMode="External" Id="rId35"/><Relationship Type="http://schemas.openxmlformats.org/officeDocument/2006/relationships/hyperlink" Target="https://www.redfin.com/MA/Brighton/32-Sidlaw-Rd-02135/unit-6/home/9006968" TargetMode="External" Id="rId36"/><Relationship Type="http://schemas.openxmlformats.org/officeDocument/2006/relationships/hyperlink" Target="https://www.redfin.com/MA/Brighton/88-Gordon-St-02135/unit-304/home/9226535" TargetMode="External" Id="rId37"/><Relationship Type="http://schemas.openxmlformats.org/officeDocument/2006/relationships/hyperlink" Target="https://www.redfin.com/MA/Brighton/15-Commonwealth-Ct-02135/unit-10/home/9014600" TargetMode="External" Id="rId38"/><Relationship Type="http://schemas.openxmlformats.org/officeDocument/2006/relationships/hyperlink" Target="https://www.redfin.com/MA/Brighton/1691-Commonwealth-Ave-02135/unit-31/home/9020583" TargetMode="External" Id="rId39"/><Relationship Type="http://schemas.openxmlformats.org/officeDocument/2006/relationships/hyperlink" Target="https://www.redfin.com/MA/Boston/191-Washington-St-02135/home/184088757" TargetMode="External" Id="rId40"/><Relationship Type="http://schemas.openxmlformats.org/officeDocument/2006/relationships/hyperlink" Target="https://www.redfin.com/MA/Somerville/17-Buckingham-St-02143/unit-3/home/200344678" TargetMode="External" Id="rId41"/><Relationship Type="http://schemas.openxmlformats.org/officeDocument/2006/relationships/hyperlink" Target="https://www.redfin.com/MA/Somerville/367-Somerville-Ave-02143/unit-G/home/8751476" TargetMode="External" Id="rId42"/><Relationship Type="http://schemas.openxmlformats.org/officeDocument/2006/relationships/hyperlink" Target="https://www.redfin.com/MA/Somerville/5-Waldo-Ave-02143/unit-2A/home/8759932" TargetMode="External" Id="rId43"/><Relationship Type="http://schemas.openxmlformats.org/officeDocument/2006/relationships/hyperlink" Target="https://www.redfin.com/MA/Cambridge/764-Cambridge-St-02141/unit-6/home/11601252" TargetMode="External" Id="rId44"/><Relationship Type="http://schemas.openxmlformats.org/officeDocument/2006/relationships/hyperlink" Target="https://www.redfin.com/MA/Medford/50-Water-St-02155/unit-24/home/11787534" TargetMode="External" Id="rId45"/><Relationship Type="http://schemas.openxmlformats.org/officeDocument/2006/relationships/hyperlink" Target="https://www.redfin.com/MA/Boston/118-Riverway-02215/unit-12A/home/9262088" TargetMode="External" Id="rId46"/><Relationship Type="http://schemas.openxmlformats.org/officeDocument/2006/relationships/hyperlink" Target="https://www.redfin.com/MA/Quincy/Quincy/1-Bedroom/home/197950895" TargetMode="External" Id="rId47"/><Relationship Type="http://schemas.openxmlformats.org/officeDocument/2006/relationships/hyperlink" Target="https://www.redfin.com/MA/Quincy/Quincy/2-Bedrooms/home/197950891" TargetMode="External" Id="rId48"/><Relationship Type="http://schemas.openxmlformats.org/officeDocument/2006/relationships/hyperlink" Target="https://www.redfin.com/MA/Waltham/31-Warren-St-02453/unit-B1/home/11815449" TargetMode="External" Id="rId49"/><Relationship Type="http://schemas.openxmlformats.org/officeDocument/2006/relationships/hyperlink" Target="https://www.redfin.com/MA/Newton/1151-Walnut-St-02461/unit-304/home/200156614" TargetMode="External" Id="rId50"/><Relationship Type="http://schemas.openxmlformats.org/officeDocument/2006/relationships/hyperlink" Target="https://www.redfin.com/MA/Chestnut-Hill/42-Bryon-Rd-02467/unit-6/home/9204495" TargetMode="External" Id="rId51"/><Relationship Type="http://schemas.openxmlformats.org/officeDocument/2006/relationships/hyperlink" Target="https://www.redfin.com/MA/Brighton/7-Lothian-Rd-02135/unit-B/home/9025402" TargetMode="External" Id="rId52"/><Relationship Type="http://schemas.openxmlformats.org/officeDocument/2006/relationships/hyperlink" Target="https://www.redfin.com/MA/Cambridge/6-Washington-Ave-02140/unit-11/home/11585376" TargetMode="External" Id="rId53"/><Relationship Type="http://schemas.openxmlformats.org/officeDocument/2006/relationships/hyperlink" Target="https://www.redfin.com/MA/Waltham/31-Weston-St-02453/unit-2/home/11822835" TargetMode="External" Id="rId54"/><Relationship Type="http://schemas.openxmlformats.org/officeDocument/2006/relationships/hyperlink" Target="https://www.redfin.com/MA/Newton/1151-Walnut-St-02461/unit-207/home/198507382" TargetMode="External" Id="rId55"/><Relationship Type="http://schemas.openxmlformats.org/officeDocument/2006/relationships/hyperlink" Target="https://www.redfin.com/MA/Quincy/138-Quincy-Shore-Dr-02171/unit-170/home/9010050" TargetMode="External" Id="rId56"/><Relationship Type="http://schemas.openxmlformats.org/officeDocument/2006/relationships/hyperlink" Target="https://www.redfin.com/MA/Cambridge/35-Homer-Ave-02138/unit-7/home/12442078" TargetMode="External" Id="rId57"/><Relationship Type="http://schemas.openxmlformats.org/officeDocument/2006/relationships/hyperlink" Target="https://www.redfin.com/MA/Brighton/100-Lanark-Rd-02135/unit-8/home/9022520" TargetMode="External" Id="rId58"/><Relationship Type="http://schemas.openxmlformats.org/officeDocument/2006/relationships/hyperlink" Target="https://www.redfin.com/MA/Boston/4-Franklin-St-02134/unit-202/home/190592119" TargetMode="External" Id="rId59"/><Relationship Type="http://schemas.openxmlformats.org/officeDocument/2006/relationships/hyperlink" Target="https://www.redfin.com/MA/Cambridge/148-Berkshire-St-02141/unit-148-4/home/200523526" TargetMode="External" Id="rId60"/><Relationship Type="http://schemas.openxmlformats.org/officeDocument/2006/relationships/hyperlink" Target="https://www.redfin.com/MA/Boston/111-Jersey-St-02215/unit-15/home/9317643" TargetMode="External" Id="rId61"/><Relationship Type="http://schemas.openxmlformats.org/officeDocument/2006/relationships/hyperlink" Target="https://www.redfin.com/MA/Somerville/24-Rush-St-02145/unit-E/home/172903953" TargetMode="External" Id="rId62"/><Relationship Type="http://schemas.openxmlformats.org/officeDocument/2006/relationships/hyperlink" Target="https://www.redfin.com/MA/Quincy/388-Washington-St-02169/unit-101/home/200568725" TargetMode="External" Id="rId63"/><Relationship Type="http://schemas.openxmlformats.org/officeDocument/2006/relationships/hyperlink" Target="https://www.redfin.com/MA/Quincy/20-Whitney-Rd-02169/unit-U-1/home/200248173" TargetMode="External" Id="rId64"/><Relationship Type="http://schemas.openxmlformats.org/officeDocument/2006/relationships/hyperlink" Target="https://www.redfin.com/MA/Quincy/20-Whitney-Rd-02169/unit-101/home/196906729" TargetMode="External" Id="rId65"/><Relationship Type="http://schemas.openxmlformats.org/officeDocument/2006/relationships/hyperlink" Target="https://www.redfin.com/MA/Watertown/56-Ralph-St-02472/unit-3/home/57314411" TargetMode="External" Id="rId66"/><Relationship Type="http://schemas.openxmlformats.org/officeDocument/2006/relationships/hyperlink" Target="https://www.redfin.com/MA/Brighton/60-Sutherland-Rd-02135/unit-4/home/9026345" TargetMode="External" Id="rId67"/><Relationship Type="http://schemas.openxmlformats.org/officeDocument/2006/relationships/hyperlink" Target="https://www.redfin.com/MA/Brighton/1945-Commonwealth-Ave-02135/unit-4/home/9242382" TargetMode="External" Id="rId68"/><Relationship Type="http://schemas.openxmlformats.org/officeDocument/2006/relationships/hyperlink" Target="https://www.redfin.com/MA/Brighton/26-Chiswick-Rd-02135/unit-6/home/9026723" TargetMode="External" Id="rId69"/><Relationship Type="http://schemas.openxmlformats.org/officeDocument/2006/relationships/hyperlink" Target="https://www.redfin.com/MA/Belmont/9-Henry-St-02478/unit-9/home/77513972" TargetMode="External" Id="rId70"/><Relationship Type="http://schemas.openxmlformats.org/officeDocument/2006/relationships/hyperlink" Target="https://www.redfin.com/MA/Brighton/99-Tremont-St-02135/unit-105/home/144873670" TargetMode="External" Id="rId71"/><Relationship Type="http://schemas.openxmlformats.org/officeDocument/2006/relationships/hyperlink" Target="https://www.redfin.com/MA/Boston/191-Washington-St-02135/unit-317/home/176134081" TargetMode="External" Id="rId72"/><Relationship Type="http://schemas.openxmlformats.org/officeDocument/2006/relationships/hyperlink" Target="https://www.redfin.com/MA/Cambridge/863-Massachusetts-Ave-02139/unit-25/home/11566175" TargetMode="External" Id="rId73"/><Relationship Type="http://schemas.openxmlformats.org/officeDocument/2006/relationships/hyperlink" Target="https://www.redfin.com/MA/Quincy/585-Washington-St-02169/unit-202/home/200582027" TargetMode="External" Id="rId74"/><Relationship Type="http://schemas.openxmlformats.org/officeDocument/2006/relationships/hyperlink" Target="https://www.redfin.com/MA/Quincy/87-Franklin-St-02169/unit-105/home/9037092" TargetMode="External" Id="rId75"/><Relationship Type="http://schemas.openxmlformats.org/officeDocument/2006/relationships/hyperlink" Target="https://www.redfin.com/MA/Quincy/21-Totman-St-02169/unit-203/home/199494634" TargetMode="External" Id="rId76"/><Relationship Type="http://schemas.openxmlformats.org/officeDocument/2006/relationships/hyperlink" Target="https://www.redfin.com/MA/Brighton/15-Colliston-Rd-02135/unit-6/home/9004520" TargetMode="External" Id="rId77"/><Relationship Type="http://schemas.openxmlformats.org/officeDocument/2006/relationships/hyperlink" Target="https://www.redfin.com/MA/Cambridge/11-Cogswell-Ave-02140/unit-15/home/11583274" TargetMode="External" Id="rId78"/><Relationship Type="http://schemas.openxmlformats.org/officeDocument/2006/relationships/hyperlink" Target="https://www.redfin.com/MA/Quincy/87-Village-Dr-02169/unit-87/home/200729265" TargetMode="External" Id="rId79"/><Relationship Type="http://schemas.openxmlformats.org/officeDocument/2006/relationships/hyperlink" Target="https://www.redfin.com/MA/Cambridge/2-Avon-St-02138/unit-6/home/196668755" TargetMode="External" Id="rId80"/><Relationship Type="http://schemas.openxmlformats.org/officeDocument/2006/relationships/hyperlink" Target="https://www.redfin.com/MA/Quincy/21-Totman-St-02169/unit-404/home/199967272" TargetMode="External" Id="rId81"/><Relationship Type="http://schemas.openxmlformats.org/officeDocument/2006/relationships/hyperlink" Target="https://www.redfin.com/MA/Chestnut-Hill/28-Westgate-Rd-02467/unit-3/home/9204984" TargetMode="External" Id="rId82"/><Relationship Type="http://schemas.openxmlformats.org/officeDocument/2006/relationships/hyperlink" Target="https://www.redfin.com/MA/Quincy/1001-Marina-Dr-02171/unit-213/home/9026436" TargetMode="External" Id="rId83"/><Relationship Type="http://schemas.openxmlformats.org/officeDocument/2006/relationships/hyperlink" Target="https://www.redfin.com/MA/Watertown/290-Pleasant-St-02472/unit-113/home/12404099" TargetMode="External" Id="rId84"/><Relationship Type="http://schemas.openxmlformats.org/officeDocument/2006/relationships/hyperlink" Target="https://www.redfin.com/MA/Arlington/995-Massachusetts-Ave-02476/unit-404/home/8418935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6" customWidth="1" min="14" max="14"/>
    <col width="19" customWidth="1" min="15" max="15"/>
    <col width="34" customWidth="1" min="16" max="16"/>
    <col width="24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60 Bryon Rd #1, Chestnut Hill, MA 02467</t>
        </is>
      </c>
      <c r="B2" t="inlineStr">
        <is>
          <t>Newton</t>
        </is>
      </c>
      <c r="C2" s="6" t="inlineStr">
        <is>
          <t>https://www.redfin.com/MA/Chestnut-Hill/60-Bryon-Rd-02467/unit-1/home/9204335</t>
        </is>
      </c>
      <c r="D2" s="3" t="n">
        <v>338399</v>
      </c>
      <c r="E2" s="3" t="n">
        <v>358</v>
      </c>
      <c r="F2" t="n">
        <v>2</v>
      </c>
      <c r="G2" t="n">
        <v>1</v>
      </c>
      <c r="H2" s="4" t="n">
        <v>786</v>
      </c>
      <c r="I2" t="inlineStr">
        <is>
          <t>No</t>
        </is>
      </c>
      <c r="J2" t="inlineStr">
        <is>
          <t>1 space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1430</v>
      </c>
      <c r="S2" s="3">
        <f>Q2-R2</f>
        <v/>
      </c>
      <c r="T2" t="n">
        <v>6.2</v>
      </c>
      <c r="U2" t="n">
        <v>23.2</v>
      </c>
      <c r="V2" t="n">
        <v>21.7</v>
      </c>
      <c r="W2" s="7" t="n">
        <v>2.45</v>
      </c>
      <c r="X2" t="inlineStr">
        <is>
          <t>Green</t>
        </is>
      </c>
    </row>
    <row r="3">
      <c r="A3" s="5" t="inlineStr">
        <is>
          <t>212-A Quincy Shore Dr, Quincy, MA 02171</t>
        </is>
      </c>
      <c r="B3" t="inlineStr">
        <is>
          <t>Quincy</t>
        </is>
      </c>
      <c r="C3" s="6" t="inlineStr">
        <is>
          <t>https://www.redfin.com/MA/Quincy/212-Quincy-Shore-Dr-02171/home/9009303</t>
        </is>
      </c>
      <c r="D3" s="3" t="n">
        <v>499900</v>
      </c>
      <c r="E3" s="3" t="n">
        <v>0</v>
      </c>
      <c r="F3" t="n">
        <v>2</v>
      </c>
      <c r="G3" t="n">
        <v>1</v>
      </c>
      <c r="H3" s="4" t="n">
        <v>864</v>
      </c>
      <c r="I3" t="inlineStr">
        <is>
          <t>No</t>
        </is>
      </c>
      <c r="J3" t="inlineStr">
        <is>
          <t>0 spaces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1170</v>
      </c>
      <c r="S3" s="3">
        <f>Q3-R3</f>
        <v/>
      </c>
      <c r="T3" t="n">
        <v>5</v>
      </c>
      <c r="U3" t="n">
        <v>12.6</v>
      </c>
      <c r="V3" t="n">
        <v>16.7</v>
      </c>
      <c r="W3" s="7" t="n">
        <v>2.4</v>
      </c>
      <c r="X3" t="inlineStr">
        <is>
          <t>Green</t>
        </is>
      </c>
    </row>
    <row r="4">
      <c r="A4" s="5" t="inlineStr">
        <is>
          <t>975 Washington Streeet, Newton, MA 02460</t>
        </is>
      </c>
      <c r="B4" t="inlineStr">
        <is>
          <t>Newton</t>
        </is>
      </c>
      <c r="C4" s="6" t="inlineStr">
        <is>
          <t>https://www.redfin.com/MA/Newton/975-Washington-St-02460/home/199915977</t>
        </is>
      </c>
      <c r="D4" s="3" t="n">
        <v>5</v>
      </c>
      <c r="E4" s="3" t="n">
        <v>0</v>
      </c>
      <c r="H4" s="4" t="n"/>
      <c r="I4" t="inlineStr">
        <is>
          <t>No</t>
        </is>
      </c>
      <c r="J4" t="inlineStr">
        <is>
          <t>Unknown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0</v>
      </c>
      <c r="S4" s="3">
        <f>Q4-R4</f>
        <v/>
      </c>
      <c r="T4" t="n">
        <v>6.1</v>
      </c>
      <c r="U4" t="n">
        <v>16.7</v>
      </c>
      <c r="V4" t="n">
        <v>17.3</v>
      </c>
      <c r="W4" s="7" t="n">
        <v>2.4</v>
      </c>
      <c r="X4" t="inlineStr">
        <is>
          <t>Green</t>
        </is>
      </c>
    </row>
    <row r="5">
      <c r="A5" s="5" t="inlineStr">
        <is>
          <t>7 Cypress Rd #703, Brighton, MA 02135</t>
        </is>
      </c>
      <c r="B5" t="inlineStr">
        <is>
          <t>Watertown</t>
        </is>
      </c>
      <c r="C5" s="6" t="inlineStr">
        <is>
          <t>https://www.redfin.com/MA/Brighton/7-Cypress-Rd-02135/unit-703/home/9016137</t>
        </is>
      </c>
      <c r="D5" s="3" t="n">
        <v>448000</v>
      </c>
      <c r="E5" s="3" t="n">
        <v>315</v>
      </c>
      <c r="F5" t="n">
        <v>2</v>
      </c>
      <c r="G5" t="n">
        <v>1</v>
      </c>
      <c r="H5" s="4" t="n">
        <v>576</v>
      </c>
      <c r="I5" t="inlineStr">
        <is>
          <t>No</t>
        </is>
      </c>
      <c r="J5" t="inlineStr">
        <is>
          <t>1 space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1365</v>
      </c>
      <c r="S5" s="3">
        <f>Q5-R5</f>
        <v/>
      </c>
      <c r="T5" t="n">
        <v>3.1</v>
      </c>
      <c r="U5" t="n">
        <v>13.2</v>
      </c>
      <c r="V5" t="n">
        <v>12.8</v>
      </c>
      <c r="W5" s="7" t="n">
        <v>2.4</v>
      </c>
      <c r="X5" t="inlineStr">
        <is>
          <t>Green</t>
        </is>
      </c>
    </row>
    <row r="6">
      <c r="A6" s="5" t="inlineStr">
        <is>
          <t>88 Gordon St #305, Brighton, MA 02135</t>
        </is>
      </c>
      <c r="B6" t="inlineStr">
        <is>
          <t>Brighton</t>
        </is>
      </c>
      <c r="C6" s="6" t="inlineStr">
        <is>
          <t>https://www.redfin.com/MA/Brighton/88-Gordon-St-02135/unit-305/home/9012102</t>
        </is>
      </c>
      <c r="D6" s="3" t="n">
        <v>299000</v>
      </c>
      <c r="E6" s="3" t="n">
        <v>292</v>
      </c>
      <c r="F6" t="n">
        <v>1</v>
      </c>
      <c r="G6" t="n">
        <v>1</v>
      </c>
      <c r="H6" s="4" t="n">
        <v>283</v>
      </c>
      <c r="I6" t="inlineStr">
        <is>
          <t>No</t>
        </is>
      </c>
      <c r="J6" t="inlineStr">
        <is>
          <t>0 spaces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0</v>
      </c>
      <c r="S6" s="3">
        <f>Q6-R6</f>
        <v/>
      </c>
      <c r="T6" t="n">
        <v>3.1</v>
      </c>
      <c r="U6" t="n">
        <v>12.6</v>
      </c>
      <c r="V6" t="n">
        <v>12.2</v>
      </c>
      <c r="W6" s="7" t="n">
        <v>2.4</v>
      </c>
      <c r="X6" t="inlineStr">
        <is>
          <t>Green</t>
        </is>
      </c>
    </row>
    <row r="7">
      <c r="A7" s="5" t="inlineStr">
        <is>
          <t>198 Allston St #3, Brighton, MA 02134</t>
        </is>
      </c>
      <c r="B7" t="inlineStr">
        <is>
          <t>Brighton</t>
        </is>
      </c>
      <c r="C7" s="6" t="inlineStr">
        <is>
          <t>https://www.redfin.com/MA/Brighton/198-Allston-St-02135/unit-3/home/9013031</t>
        </is>
      </c>
      <c r="D7" s="3" t="n">
        <v>270000</v>
      </c>
      <c r="E7" s="3" t="n">
        <v>295</v>
      </c>
      <c r="F7" t="n">
        <v>1</v>
      </c>
      <c r="G7" t="n">
        <v>1</v>
      </c>
      <c r="H7" s="4" t="n">
        <v>318</v>
      </c>
      <c r="I7" t="inlineStr">
        <is>
          <t>No</t>
        </is>
      </c>
      <c r="J7" t="inlineStr">
        <is>
          <t>0 spaces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0</v>
      </c>
      <c r="S7" s="3">
        <f>Q7-R7</f>
        <v/>
      </c>
      <c r="T7" t="n">
        <v>0.8</v>
      </c>
      <c r="U7" t="n">
        <v>12.4</v>
      </c>
      <c r="V7" t="n">
        <v>12</v>
      </c>
      <c r="W7" s="7" t="n">
        <v>2.4</v>
      </c>
      <c r="X7" t="inlineStr">
        <is>
          <t>Green</t>
        </is>
      </c>
    </row>
    <row r="8">
      <c r="A8" s="5" t="inlineStr">
        <is>
          <t>0 Gordon Rd, Medford, MA 02155</t>
        </is>
      </c>
      <c r="B8" t="inlineStr">
        <is>
          <t>Medford</t>
        </is>
      </c>
      <c r="C8" s="6" t="inlineStr">
        <is>
          <t>https://www.redfin.com/MA/Medford/0-Gordon-Rd-02155/home/187063221</t>
        </is>
      </c>
      <c r="D8" s="3" t="n">
        <v>369000</v>
      </c>
      <c r="E8" s="3" t="n">
        <v>0</v>
      </c>
      <c r="H8" s="4" t="n"/>
      <c r="I8" t="inlineStr">
        <is>
          <t>No</t>
        </is>
      </c>
      <c r="J8" t="inlineStr">
        <is>
          <t>Unknown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0</v>
      </c>
      <c r="S8" s="3">
        <f>Q8-R8</f>
        <v/>
      </c>
      <c r="T8" t="n">
        <v>5</v>
      </c>
      <c r="U8" t="n">
        <v>12.2</v>
      </c>
      <c r="V8" t="n">
        <v>12.4</v>
      </c>
      <c r="W8" s="7" t="n">
        <v>2.35</v>
      </c>
      <c r="X8" t="inlineStr">
        <is>
          <t>Green</t>
        </is>
      </c>
    </row>
    <row r="9">
      <c r="A9" s="5" t="inlineStr">
        <is>
          <t>18 Allerton St, Quincy, MA 02169</t>
        </is>
      </c>
      <c r="B9" t="inlineStr">
        <is>
          <t>Quincy</t>
        </is>
      </c>
      <c r="C9" s="6" t="inlineStr">
        <is>
          <t>https://www.redfin.com/MA/Quincy/18-Allerton-St-02169/home/110011603</t>
        </is>
      </c>
      <c r="D9" s="3" t="n">
        <v>200000</v>
      </c>
      <c r="E9" s="3" t="n">
        <v>0</v>
      </c>
      <c r="H9" s="4" t="n"/>
      <c r="I9" t="inlineStr">
        <is>
          <t>No</t>
        </is>
      </c>
      <c r="J9" t="inlineStr">
        <is>
          <t>Unknown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8.4</v>
      </c>
      <c r="U9" t="n">
        <v>23.3</v>
      </c>
      <c r="V9" t="n">
        <v>27.4</v>
      </c>
      <c r="W9" s="7" t="n">
        <v>2.3</v>
      </c>
      <c r="X9" t="inlineStr">
        <is>
          <t>Green</t>
        </is>
      </c>
    </row>
    <row r="10">
      <c r="A10" s="5" t="inlineStr">
        <is>
          <t>461 Washington St #301, Brighton, MA 02135</t>
        </is>
      </c>
      <c r="B10" t="inlineStr">
        <is>
          <t>Brighton</t>
        </is>
      </c>
      <c r="C10" s="6" t="inlineStr">
        <is>
          <t>https://www.redfin.com/MA/Brighton/461-Washington-St-02135/unit-301/home/11503967</t>
        </is>
      </c>
      <c r="D10" s="3" t="n">
        <v>419900</v>
      </c>
      <c r="E10" s="3" t="n">
        <v>431</v>
      </c>
      <c r="F10" t="n">
        <v>2</v>
      </c>
      <c r="G10" t="n">
        <v>1</v>
      </c>
      <c r="H10" s="4" t="n">
        <v>696</v>
      </c>
      <c r="I10" t="inlineStr">
        <is>
          <t>No</t>
        </is>
      </c>
      <c r="J10" t="inlineStr">
        <is>
          <t>0 spaces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1300</v>
      </c>
      <c r="S10" s="3">
        <f>Q10-R10</f>
        <v/>
      </c>
      <c r="T10" t="n">
        <v>2.9</v>
      </c>
      <c r="U10" t="n">
        <v>14.6</v>
      </c>
      <c r="V10" t="n">
        <v>14.2</v>
      </c>
      <c r="W10" s="7" t="n">
        <v>2.3</v>
      </c>
      <c r="X10" t="inlineStr">
        <is>
          <t>Green</t>
        </is>
      </c>
    </row>
    <row r="11">
      <c r="A11" s="5" t="inlineStr">
        <is>
          <t>10 Scottfield Rd #2, Allston, MA 02134</t>
        </is>
      </c>
      <c r="B11" t="inlineStr">
        <is>
          <t>Allston</t>
        </is>
      </c>
      <c r="C11" s="6" t="inlineStr">
        <is>
          <t>https://www.redfin.com/MA/Allston/10-Scottfield-Rd-02134/unit-2/home/9000250</t>
        </is>
      </c>
      <c r="D11" s="3" t="n">
        <v>474900</v>
      </c>
      <c r="E11" s="3" t="n">
        <v>408</v>
      </c>
      <c r="F11" t="n">
        <v>2</v>
      </c>
      <c r="G11" t="n">
        <v>1</v>
      </c>
      <c r="H11" s="4" t="n">
        <v>746</v>
      </c>
      <c r="I11" t="inlineStr">
        <is>
          <t>No</t>
        </is>
      </c>
      <c r="J11" t="inlineStr">
        <is>
          <t>0 spaces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1235</v>
      </c>
      <c r="S11" s="3">
        <f>Q11-R11</f>
        <v/>
      </c>
      <c r="T11" t="n">
        <v>2</v>
      </c>
      <c r="U11" t="n">
        <v>12.2</v>
      </c>
      <c r="V11" t="n">
        <v>11.8</v>
      </c>
      <c r="W11" s="7" t="n">
        <v>2.3</v>
      </c>
      <c r="X11" t="inlineStr">
        <is>
          <t>Green</t>
        </is>
      </c>
    </row>
    <row r="12">
      <c r="A12" s="5" t="inlineStr">
        <is>
          <t>8 Avon St #10, Somerville, MA 02143</t>
        </is>
      </c>
      <c r="B12" t="inlineStr">
        <is>
          <t>Somerville</t>
        </is>
      </c>
      <c r="C12" s="6" t="inlineStr">
        <is>
          <t>https://www.redfin.com/MA/Somerville/8-Avon-St-02143/unit-10/home/8759429</t>
        </is>
      </c>
      <c r="D12" s="3" t="n">
        <v>500000</v>
      </c>
      <c r="E12" s="3" t="n">
        <v>288</v>
      </c>
      <c r="F12" t="n">
        <v>2</v>
      </c>
      <c r="G12" t="n">
        <v>1</v>
      </c>
      <c r="H12" s="4" t="n">
        <v>645</v>
      </c>
      <c r="I12" t="inlineStr">
        <is>
          <t>No</t>
        </is>
      </c>
      <c r="J12" t="inlineStr">
        <is>
          <t>1 space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1495</v>
      </c>
      <c r="S12" s="3">
        <f>Q12-R12</f>
        <v/>
      </c>
      <c r="T12" t="n">
        <v>3.4</v>
      </c>
      <c r="U12" t="n">
        <v>11.9</v>
      </c>
      <c r="V12" t="n">
        <v>7.6</v>
      </c>
      <c r="W12" s="7" t="n">
        <v>2.3</v>
      </c>
      <c r="X12" t="inlineStr">
        <is>
          <t>Green</t>
        </is>
      </c>
    </row>
    <row r="13">
      <c r="A13" s="8" t="inlineStr">
        <is>
          <t>199 Prospect St Unit A1, Cambridge, MA 02139</t>
        </is>
      </c>
      <c r="B13" t="inlineStr">
        <is>
          <t>Cambridge</t>
        </is>
      </c>
      <c r="C13" s="6" t="inlineStr">
        <is>
          <t>https://www.redfin.com/MA/Cambridge/199-Prospect-St-02139/unit-A1/home/110093910</t>
        </is>
      </c>
      <c r="D13" s="3" t="n">
        <v>399999</v>
      </c>
      <c r="E13" s="3" t="n">
        <v>183</v>
      </c>
      <c r="F13" t="n">
        <v>0</v>
      </c>
      <c r="G13" t="n">
        <v>1</v>
      </c>
      <c r="H13" s="4" t="n">
        <v>389</v>
      </c>
      <c r="I13" t="inlineStr">
        <is>
          <t>No</t>
        </is>
      </c>
      <c r="J13" t="inlineStr">
        <is>
          <t>0 spaces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0</v>
      </c>
      <c r="S13" s="3">
        <f>Q13-R13</f>
        <v/>
      </c>
      <c r="T13" t="n">
        <v>2.4</v>
      </c>
      <c r="U13" t="n">
        <v>11.2</v>
      </c>
      <c r="V13" t="n">
        <v>4.1</v>
      </c>
      <c r="W13" s="7" t="n">
        <v>2.3</v>
      </c>
      <c r="X13" t="inlineStr">
        <is>
          <t>Yellow</t>
        </is>
      </c>
    </row>
    <row r="14">
      <c r="A14" s="8" t="inlineStr">
        <is>
          <t>186 Lexington St #8, Watertown, MA 02472</t>
        </is>
      </c>
      <c r="B14" t="inlineStr">
        <is>
          <t>Watertown</t>
        </is>
      </c>
      <c r="C14" s="6" t="inlineStr">
        <is>
          <t>https://www.redfin.com/MA/Watertown/186-Lexington-St-02472/unit-8/home/11690422</t>
        </is>
      </c>
      <c r="D14" s="3" t="n">
        <v>394900</v>
      </c>
      <c r="E14" s="3" t="n">
        <v>350</v>
      </c>
      <c r="F14" t="n">
        <v>2</v>
      </c>
      <c r="G14" t="n">
        <v>1</v>
      </c>
      <c r="H14" s="4" t="n">
        <v>600</v>
      </c>
      <c r="I14" t="inlineStr">
        <is>
          <t>No</t>
        </is>
      </c>
      <c r="J14" t="inlineStr">
        <is>
          <t>1 space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1365</v>
      </c>
      <c r="S14" s="3">
        <f>Q14-R14</f>
        <v/>
      </c>
      <c r="T14" t="n">
        <v>12.1</v>
      </c>
      <c r="U14" t="n">
        <v>18.5</v>
      </c>
      <c r="V14" t="n">
        <v>17.2</v>
      </c>
      <c r="W14" s="7" t="n">
        <v>2.25</v>
      </c>
      <c r="X14" t="inlineStr">
        <is>
          <t>Yellow</t>
        </is>
      </c>
    </row>
    <row r="15">
      <c r="A15" s="8" t="inlineStr">
        <is>
          <t>194 Lexington St #1, Watertown, MA 02472</t>
        </is>
      </c>
      <c r="B15" t="inlineStr">
        <is>
          <t>Watertown</t>
        </is>
      </c>
      <c r="C15" s="6" t="inlineStr">
        <is>
          <t>https://www.redfin.com/MA/Watertown/194-Lexington-St-02472/unit-1/home/11690433</t>
        </is>
      </c>
      <c r="D15" s="3" t="n">
        <v>375000</v>
      </c>
      <c r="E15" s="3" t="n">
        <v>350</v>
      </c>
      <c r="F15" t="n">
        <v>2</v>
      </c>
      <c r="G15" t="n">
        <v>1</v>
      </c>
      <c r="H15" s="4" t="n">
        <v>600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1365</v>
      </c>
      <c r="S15" s="3">
        <f>Q15-R15</f>
        <v/>
      </c>
      <c r="T15" t="n">
        <v>12.4</v>
      </c>
      <c r="U15" t="n">
        <v>18.9</v>
      </c>
      <c r="V15" t="n">
        <v>17</v>
      </c>
      <c r="W15" s="7" t="n">
        <v>2.25</v>
      </c>
      <c r="X15" t="inlineStr">
        <is>
          <t>Yellow</t>
        </is>
      </c>
    </row>
    <row r="16">
      <c r="A16" s="8" t="inlineStr">
        <is>
          <t>133 Warren St #3, Watertown, MA 02472</t>
        </is>
      </c>
      <c r="B16" t="inlineStr">
        <is>
          <t>Watertown</t>
        </is>
      </c>
      <c r="C16" s="6" t="inlineStr">
        <is>
          <t>https://www.redfin.com/MA/Watertown/133-Warren-St-02472/unit-3/home/11690534</t>
        </is>
      </c>
      <c r="D16" s="3" t="n">
        <v>375000</v>
      </c>
      <c r="E16" s="3" t="n">
        <v>350</v>
      </c>
      <c r="F16" t="n">
        <v>2</v>
      </c>
      <c r="G16" t="n">
        <v>1</v>
      </c>
      <c r="H16" s="4" t="n">
        <v>600</v>
      </c>
      <c r="I16" t="inlineStr">
        <is>
          <t>No</t>
        </is>
      </c>
      <c r="J16" t="inlineStr">
        <is>
          <t>2 spaces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1365</v>
      </c>
      <c r="S16" s="3">
        <f>Q16-R16</f>
        <v/>
      </c>
      <c r="T16" t="n">
        <v>12.3</v>
      </c>
      <c r="U16" t="n">
        <v>18.7</v>
      </c>
      <c r="V16" t="n">
        <v>17.3</v>
      </c>
      <c r="W16" s="7" t="n">
        <v>2.25</v>
      </c>
      <c r="X16" t="inlineStr">
        <is>
          <t>Yellow</t>
        </is>
      </c>
    </row>
    <row r="17">
      <c r="A17" s="8" t="inlineStr">
        <is>
          <t>38 Carey Ave #3, Watertown, MA 02472</t>
        </is>
      </c>
      <c r="B17" t="inlineStr">
        <is>
          <t>Watertown</t>
        </is>
      </c>
      <c r="C17" s="6" t="inlineStr">
        <is>
          <t>https://www.redfin.com/MA/Watertown/38-Carey-Ave-02472/unit-3/home/11690323</t>
        </is>
      </c>
      <c r="D17" s="3" t="n">
        <v>374899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1 space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12.6</v>
      </c>
      <c r="U17" t="n">
        <v>19.1</v>
      </c>
      <c r="V17" t="n">
        <v>17.2</v>
      </c>
      <c r="W17" s="7" t="n">
        <v>2.25</v>
      </c>
      <c r="X17" t="inlineStr">
        <is>
          <t>Yellow</t>
        </is>
      </c>
    </row>
    <row r="18">
      <c r="A18" s="8" t="inlineStr">
        <is>
          <t>59 Terne Rd, Quincy, MA 02169</t>
        </is>
      </c>
      <c r="B18" t="inlineStr">
        <is>
          <t>Quincy</t>
        </is>
      </c>
      <c r="C18" s="6" t="inlineStr">
        <is>
          <t>https://www.redfin.com/MA/Quincy/59-Terne-Rd-02169/home/11828578</t>
        </is>
      </c>
      <c r="D18" s="3" t="n">
        <v>499900</v>
      </c>
      <c r="E18" s="3" t="n">
        <v>0</v>
      </c>
      <c r="F18" t="n">
        <v>3</v>
      </c>
      <c r="G18" t="n">
        <v>2</v>
      </c>
      <c r="H18" s="4" t="n">
        <v>1450</v>
      </c>
      <c r="I18" t="inlineStr">
        <is>
          <t>No</t>
        </is>
      </c>
      <c r="J18" t="inlineStr">
        <is>
          <t>1 space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1170</v>
      </c>
      <c r="S18" s="3">
        <f>Q18-R18</f>
        <v/>
      </c>
      <c r="T18" t="n">
        <v>5.8</v>
      </c>
      <c r="U18" t="n">
        <v>20.7</v>
      </c>
      <c r="V18" t="n">
        <v>24.8</v>
      </c>
      <c r="W18" s="7" t="n">
        <v>2.25</v>
      </c>
      <c r="X18" t="inlineStr">
        <is>
          <t>Yellow</t>
        </is>
      </c>
    </row>
    <row r="19">
      <c r="A19" s="8" t="inlineStr">
        <is>
          <t>1564 Commonwealth Ave #3, Brighton, MA 02135</t>
        </is>
      </c>
      <c r="B19" t="inlineStr">
        <is>
          <t>Brighton</t>
        </is>
      </c>
      <c r="C19" s="6" t="inlineStr">
        <is>
          <t>https://www.redfin.com/MA/Brighton/1564-Commonwealth-Ave-02135/unit-3/home/9017145</t>
        </is>
      </c>
      <c r="D19" s="3" t="n">
        <v>315000</v>
      </c>
      <c r="E19" s="3" t="n">
        <v>369</v>
      </c>
      <c r="F19" t="n">
        <v>0</v>
      </c>
      <c r="G19" t="n">
        <v>1</v>
      </c>
      <c r="H19" s="4" t="n">
        <v>306</v>
      </c>
      <c r="I19" t="inlineStr">
        <is>
          <t>No</t>
        </is>
      </c>
      <c r="J19" t="inlineStr">
        <is>
          <t>0 spaces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0</v>
      </c>
      <c r="S19" s="3">
        <f>Q19-R19</f>
        <v/>
      </c>
      <c r="T19" t="n">
        <v>2</v>
      </c>
      <c r="U19" t="n">
        <v>13.5</v>
      </c>
      <c r="V19" t="n">
        <v>13.1</v>
      </c>
      <c r="W19" s="7" t="n">
        <v>2.2</v>
      </c>
      <c r="X19" t="inlineStr">
        <is>
          <t>Yellow</t>
        </is>
      </c>
    </row>
    <row r="20">
      <c r="A20" s="8" t="inlineStr">
        <is>
          <t>45 Gordon St #4, Allston, MA 02134</t>
        </is>
      </c>
      <c r="B20" t="inlineStr">
        <is>
          <t>Allston</t>
        </is>
      </c>
      <c r="C20" s="6" t="inlineStr">
        <is>
          <t>https://www.redfin.com/MA/Allston/45-Gordon-St-02134/unit-4/home/8999903</t>
        </is>
      </c>
      <c r="D20" s="3" t="n">
        <v>489000</v>
      </c>
      <c r="E20" s="3" t="n">
        <v>350</v>
      </c>
      <c r="F20" t="n">
        <v>2</v>
      </c>
      <c r="G20" t="n">
        <v>1</v>
      </c>
      <c r="H20" s="4" t="n">
        <v>675</v>
      </c>
      <c r="I20" t="inlineStr">
        <is>
          <t>No</t>
        </is>
      </c>
      <c r="J20" t="inlineStr">
        <is>
          <t>0 spaces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1235</v>
      </c>
      <c r="S20" s="3">
        <f>Q20-R20</f>
        <v/>
      </c>
      <c r="T20" t="n">
        <v>3</v>
      </c>
      <c r="U20" t="n">
        <v>11.3</v>
      </c>
      <c r="V20" t="n">
        <v>10.9</v>
      </c>
      <c r="W20" s="7" t="n">
        <v>2.2</v>
      </c>
      <c r="X20" t="inlineStr">
        <is>
          <t>Yellow</t>
        </is>
      </c>
    </row>
    <row r="21">
      <c r="A21" s="8" t="inlineStr">
        <is>
          <t>69 Park Dr #10, Boston, MA 02215</t>
        </is>
      </c>
      <c r="B21" t="inlineStr">
        <is>
          <t>Brookline</t>
        </is>
      </c>
      <c r="C21" s="6" t="inlineStr">
        <is>
          <t>https://www.redfin.com/MA/Boston/69-Park-Dr-02215/unit-10/home/9274080</t>
        </is>
      </c>
      <c r="D21" s="3" t="n">
        <v>360000</v>
      </c>
      <c r="E21" s="3" t="n">
        <v>381</v>
      </c>
      <c r="F21" t="n">
        <v>0</v>
      </c>
      <c r="G21" t="n">
        <v>1</v>
      </c>
      <c r="H21" s="4" t="n">
        <v>320</v>
      </c>
      <c r="I21" t="inlineStr">
        <is>
          <t>No</t>
        </is>
      </c>
      <c r="J21" t="inlineStr">
        <is>
          <t>0 spaces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0</v>
      </c>
      <c r="S21" s="3">
        <f>Q21-R21</f>
        <v/>
      </c>
      <c r="T21" t="n">
        <v>1.7</v>
      </c>
      <c r="U21" t="n">
        <v>11.2</v>
      </c>
      <c r="V21" t="n">
        <v>9</v>
      </c>
      <c r="W21" s="7" t="n">
        <v>2.2</v>
      </c>
      <c r="X21" t="inlineStr">
        <is>
          <t>Yellow</t>
        </is>
      </c>
    </row>
    <row r="22">
      <c r="A22" s="8" t="inlineStr">
        <is>
          <t>7 Mortimer Pl #2, Somerville, MA 02145</t>
        </is>
      </c>
      <c r="B22" t="inlineStr">
        <is>
          <t>Somerville</t>
        </is>
      </c>
      <c r="C22" s="6" t="inlineStr">
        <is>
          <t>https://www.redfin.com/MA/Somerville/7-Mortimer-Pl-02145/unit-2/home/12389682</t>
        </is>
      </c>
      <c r="D22" s="3" t="n">
        <v>320000</v>
      </c>
      <c r="E22" s="3" t="n">
        <v>366</v>
      </c>
      <c r="F22" t="n">
        <v>0</v>
      </c>
      <c r="G22" t="n">
        <v>1</v>
      </c>
      <c r="H22" s="4" t="n">
        <v>429</v>
      </c>
      <c r="I22" t="inlineStr">
        <is>
          <t>No</t>
        </is>
      </c>
      <c r="J22" t="inlineStr">
        <is>
          <t>1 space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0</v>
      </c>
      <c r="S22" s="3">
        <f>Q22-R22</f>
        <v/>
      </c>
      <c r="T22" t="n">
        <v>1.6</v>
      </c>
      <c r="U22" t="n">
        <v>10.5</v>
      </c>
      <c r="V22" t="n">
        <v>7.1</v>
      </c>
      <c r="W22" s="7" t="n">
        <v>2.2</v>
      </c>
      <c r="X22" t="inlineStr">
        <is>
          <t>Yellow</t>
        </is>
      </c>
    </row>
    <row r="23">
      <c r="A23" s="8" t="inlineStr">
        <is>
          <t>195 Thomas Burgin Pkwy #301, Quincy, MA 02169</t>
        </is>
      </c>
      <c r="B23" t="inlineStr">
        <is>
          <t>Quincy</t>
        </is>
      </c>
      <c r="C23" s="6" t="inlineStr">
        <is>
          <t>https://www.redfin.com/MA/Quincy/195-Thomas-Burgin-Pkwy-02169/unit-301/home/8931809</t>
        </is>
      </c>
      <c r="D23" s="3" t="n">
        <v>250000</v>
      </c>
      <c r="E23" s="3" t="n">
        <v>393</v>
      </c>
      <c r="F23" t="n">
        <v>1</v>
      </c>
      <c r="G23" t="n">
        <v>1</v>
      </c>
      <c r="H23" s="4" t="n">
        <v>447</v>
      </c>
      <c r="I23" t="inlineStr">
        <is>
          <t>No</t>
        </is>
      </c>
      <c r="J23" t="inlineStr">
        <is>
          <t>0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0</v>
      </c>
      <c r="S23" s="3">
        <f>Q23-R23</f>
        <v/>
      </c>
      <c r="T23" t="n">
        <v>2.2</v>
      </c>
      <c r="U23" t="n">
        <v>17.6</v>
      </c>
      <c r="V23" t="n">
        <v>21.7</v>
      </c>
      <c r="W23" s="7" t="n">
        <v>2.15</v>
      </c>
      <c r="X23" t="inlineStr">
        <is>
          <t>Yellow</t>
        </is>
      </c>
    </row>
    <row r="24">
      <c r="A24" s="8" t="inlineStr">
        <is>
          <t>195 Thomas Burgin Pkwy #212, Quincy, MA 02169</t>
        </is>
      </c>
      <c r="B24" t="inlineStr">
        <is>
          <t>Quincy</t>
        </is>
      </c>
      <c r="C24" s="6" t="inlineStr">
        <is>
          <t>https://www.redfin.com/MA/Quincy/195-Thomas-Burgin-Pkwy-02169/unit-212/home/8931803</t>
        </is>
      </c>
      <c r="D24" s="3" t="n">
        <v>249900</v>
      </c>
      <c r="E24" s="3" t="n">
        <v>344</v>
      </c>
      <c r="F24" t="n">
        <v>0</v>
      </c>
      <c r="G24" t="n">
        <v>1</v>
      </c>
      <c r="H24" s="4" t="n">
        <v>355</v>
      </c>
      <c r="I24" t="inlineStr">
        <is>
          <t>No</t>
        </is>
      </c>
      <c r="J24" t="inlineStr">
        <is>
          <t>0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0</v>
      </c>
      <c r="S24" s="3">
        <f>Q24-R24</f>
        <v/>
      </c>
      <c r="T24" t="n">
        <v>2.2</v>
      </c>
      <c r="U24" t="n">
        <v>17.6</v>
      </c>
      <c r="V24" t="n">
        <v>21.7</v>
      </c>
      <c r="W24" s="7" t="n">
        <v>2.15</v>
      </c>
      <c r="X24" t="inlineStr">
        <is>
          <t>Yellow</t>
        </is>
      </c>
    </row>
    <row r="25">
      <c r="A25" s="8" t="inlineStr">
        <is>
          <t>10 Naviens Ln #1, Waltham, MA 02453</t>
        </is>
      </c>
      <c r="B25" t="inlineStr">
        <is>
          <t>Waltham</t>
        </is>
      </c>
      <c r="C25" s="6" t="inlineStr">
        <is>
          <t>https://www.redfin.com/MA/Waltham/10-Naviens-Ln-02453/unit-1/home/76478882</t>
        </is>
      </c>
      <c r="D25" s="3" t="n">
        <v>499900</v>
      </c>
      <c r="E25" s="3" t="n">
        <v>134</v>
      </c>
      <c r="F25" t="n">
        <v>2</v>
      </c>
      <c r="G25" t="n">
        <v>1</v>
      </c>
      <c r="H25" s="4" t="n">
        <v>1008</v>
      </c>
      <c r="I25" t="inlineStr">
        <is>
          <t>No</t>
        </is>
      </c>
      <c r="J25" t="inlineStr">
        <is>
          <t>2 spaces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1235</v>
      </c>
      <c r="S25" s="3">
        <f>Q25-R25</f>
        <v/>
      </c>
      <c r="T25" t="n">
        <v>10.9</v>
      </c>
      <c r="U25" t="n">
        <v>19.2</v>
      </c>
      <c r="V25" t="n">
        <v>19.7</v>
      </c>
      <c r="W25" s="7" t="n">
        <v>2.15</v>
      </c>
      <c r="X25" t="inlineStr">
        <is>
          <t>Yellow</t>
        </is>
      </c>
    </row>
    <row r="26">
      <c r="A26" s="8" t="inlineStr">
        <is>
          <t>66 Bryon Rd #2, Chestnut Hill, MA 02467</t>
        </is>
      </c>
      <c r="B26" t="inlineStr">
        <is>
          <t>Newton</t>
        </is>
      </c>
      <c r="C26" s="6" t="inlineStr">
        <is>
          <t>https://www.redfin.com/MA/Chestnut-Hill/66-Bryon-Rd-02467/unit-2/home/9204203</t>
        </is>
      </c>
      <c r="D26" s="3" t="n">
        <v>385000</v>
      </c>
      <c r="E26" s="3" t="n">
        <v>422</v>
      </c>
      <c r="F26" t="n">
        <v>2</v>
      </c>
      <c r="G26" t="n">
        <v>1</v>
      </c>
      <c r="H26" s="4" t="n">
        <v>780</v>
      </c>
      <c r="I26" t="inlineStr">
        <is>
          <t>No</t>
        </is>
      </c>
      <c r="J26" t="inlineStr">
        <is>
          <t>2 spaces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1430</v>
      </c>
      <c r="S26" s="3">
        <f>Q26-R26</f>
        <v/>
      </c>
      <c r="T26" t="n">
        <v>5.9</v>
      </c>
      <c r="U26" t="n">
        <v>22.9</v>
      </c>
      <c r="V26" t="n">
        <v>21.4</v>
      </c>
      <c r="W26" s="7" t="n">
        <v>2.15</v>
      </c>
      <c r="X26" t="inlineStr">
        <is>
          <t>Yellow</t>
        </is>
      </c>
    </row>
    <row r="27">
      <c r="A27" s="8" t="inlineStr">
        <is>
          <t>5 Braemore Rd #10, Brighton, MA 02135</t>
        </is>
      </c>
      <c r="B27" t="inlineStr">
        <is>
          <t>Brighton</t>
        </is>
      </c>
      <c r="C27" s="6" t="inlineStr">
        <is>
          <t>https://www.redfin.com/MA/Brighton/5-Braemore-Rd-02135/unit-10/home/9308549</t>
        </is>
      </c>
      <c r="D27" s="3" t="n">
        <v>315000</v>
      </c>
      <c r="E27" s="3" t="n">
        <v>352</v>
      </c>
      <c r="F27" t="n">
        <v>1</v>
      </c>
      <c r="G27" t="n">
        <v>1</v>
      </c>
      <c r="H27" s="4" t="n">
        <v>385</v>
      </c>
      <c r="I27" t="inlineStr">
        <is>
          <t>No</t>
        </is>
      </c>
      <c r="J27" t="inlineStr">
        <is>
          <t>0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0</v>
      </c>
      <c r="S27" s="3">
        <f>Q27-R27</f>
        <v/>
      </c>
      <c r="T27" t="n">
        <v>1.7</v>
      </c>
      <c r="U27" t="n">
        <v>15.9</v>
      </c>
      <c r="V27" t="n">
        <v>14.1</v>
      </c>
      <c r="W27" s="7" t="n">
        <v>2.15</v>
      </c>
      <c r="X27" t="inlineStr">
        <is>
          <t>Yellow</t>
        </is>
      </c>
    </row>
    <row r="28">
      <c r="A28" s="8" t="inlineStr">
        <is>
          <t>64 Bryon Rd #1, Chestnut Hill, MA 02467</t>
        </is>
      </c>
      <c r="B28" t="inlineStr">
        <is>
          <t>Newton</t>
        </is>
      </c>
      <c r="C28" s="6" t="inlineStr">
        <is>
          <t>https://www.redfin.com/MA/Chestnut-Hill/64-Bryon-Rd-02467/unit-1/home/9204182</t>
        </is>
      </c>
      <c r="D28" s="3" t="n">
        <v>399000</v>
      </c>
      <c r="E28" s="3" t="n">
        <v>422</v>
      </c>
      <c r="F28" t="n">
        <v>2</v>
      </c>
      <c r="G28" t="n">
        <v>1</v>
      </c>
      <c r="H28" s="4" t="n">
        <v>780</v>
      </c>
      <c r="I28" t="inlineStr">
        <is>
          <t>No</t>
        </is>
      </c>
      <c r="J28" t="inlineStr">
        <is>
          <t>2 spaces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1430</v>
      </c>
      <c r="S28" s="3">
        <f>Q28-R28</f>
        <v/>
      </c>
      <c r="T28" t="n">
        <v>5.8</v>
      </c>
      <c r="U28" t="n">
        <v>22.9</v>
      </c>
      <c r="V28" t="n">
        <v>21.4</v>
      </c>
      <c r="W28" s="7" t="n">
        <v>2.15</v>
      </c>
      <c r="X28" t="inlineStr">
        <is>
          <t>Yellow</t>
        </is>
      </c>
    </row>
    <row r="29">
      <c r="A29" s="8" t="inlineStr">
        <is>
          <t>1641 Commonwealth Ave #16, Brighton, MA 02135</t>
        </is>
      </c>
      <c r="B29" t="inlineStr">
        <is>
          <t>Brighton</t>
        </is>
      </c>
      <c r="C29" s="6" t="inlineStr">
        <is>
          <t>https://www.redfin.com/MA/Brighton/1641-Commonwealth-Ave-02135/unit-16/home/9002891</t>
        </is>
      </c>
      <c r="D29" s="3" t="n">
        <v>349000</v>
      </c>
      <c r="E29" s="3" t="n">
        <v>399</v>
      </c>
      <c r="F29" t="n">
        <v>1</v>
      </c>
      <c r="G29" t="n">
        <v>1</v>
      </c>
      <c r="H29" s="4" t="n">
        <v>407</v>
      </c>
      <c r="I29" t="inlineStr">
        <is>
          <t>No</t>
        </is>
      </c>
      <c r="J29" t="inlineStr">
        <is>
          <t>0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0</v>
      </c>
      <c r="S29" s="3">
        <f>Q29-R29</f>
        <v/>
      </c>
      <c r="T29" t="n">
        <v>0.4</v>
      </c>
      <c r="U29" t="n">
        <v>15</v>
      </c>
      <c r="V29" t="n">
        <v>14.6</v>
      </c>
      <c r="W29" s="7" t="n">
        <v>2.1</v>
      </c>
      <c r="X29" t="inlineStr">
        <is>
          <t>Yellow</t>
        </is>
      </c>
    </row>
    <row r="30">
      <c r="A30" s="8" t="inlineStr">
        <is>
          <t>239 Kelton St #41, Allston, MA 02134</t>
        </is>
      </c>
      <c r="B30" t="inlineStr">
        <is>
          <t>Allston</t>
        </is>
      </c>
      <c r="C30" s="6" t="inlineStr">
        <is>
          <t>https://www.redfin.com/MA/Allston/239-Kelton-St-02134/unit-41/home/9001010</t>
        </is>
      </c>
      <c r="D30" s="3" t="n">
        <v>475000</v>
      </c>
      <c r="E30" s="3" t="n">
        <v>497</v>
      </c>
      <c r="F30" t="n">
        <v>2</v>
      </c>
      <c r="G30" t="n">
        <v>1</v>
      </c>
      <c r="H30" s="4" t="n">
        <v>690</v>
      </c>
      <c r="I30" t="inlineStr">
        <is>
          <t>No</t>
        </is>
      </c>
      <c r="J30" t="inlineStr">
        <is>
          <t>0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1235</v>
      </c>
      <c r="S30" s="3">
        <f>Q30-R30</f>
        <v/>
      </c>
      <c r="T30" t="n">
        <v>2.6</v>
      </c>
      <c r="U30" t="n">
        <v>12.9</v>
      </c>
      <c r="V30" t="n">
        <v>12.5</v>
      </c>
      <c r="W30" s="7" t="n">
        <v>2.1</v>
      </c>
      <c r="X30" t="inlineStr">
        <is>
          <t>Yellow</t>
        </is>
      </c>
    </row>
    <row r="31">
      <c r="A31" s="8" t="inlineStr">
        <is>
          <t>466 Commonwealth Ave #305, Boston, MA 02215</t>
        </is>
      </c>
      <c r="B31" t="inlineStr">
        <is>
          <t>Brookline</t>
        </is>
      </c>
      <c r="C31" s="6" t="inlineStr">
        <is>
          <t>https://www.redfin.com/MA/Boston/466-Commonwealth-Ave-02215/unit-305/home/9269210</t>
        </is>
      </c>
      <c r="D31" s="3" t="n">
        <v>489000</v>
      </c>
      <c r="E31" s="3" t="n">
        <v>314</v>
      </c>
      <c r="F31" t="n">
        <v>0</v>
      </c>
      <c r="G31" t="n">
        <v>1</v>
      </c>
      <c r="H31" s="4" t="n">
        <v>346</v>
      </c>
      <c r="I31" t="inlineStr">
        <is>
          <t>No</t>
        </is>
      </c>
      <c r="J31" t="inlineStr">
        <is>
          <t>0 spaces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0</v>
      </c>
      <c r="S31" s="3">
        <f>Q31-R31</f>
        <v/>
      </c>
      <c r="T31" t="n">
        <v>1.3</v>
      </c>
      <c r="U31" t="n">
        <v>11.2</v>
      </c>
      <c r="V31" t="n">
        <v>7.7</v>
      </c>
      <c r="W31" s="7" t="n">
        <v>2.1</v>
      </c>
      <c r="X31" t="inlineStr">
        <is>
          <t>Yellow</t>
        </is>
      </c>
    </row>
    <row r="32">
      <c r="A32" s="8" t="inlineStr">
        <is>
          <t>64 Queensberry St #114, Boston, MA 02215</t>
        </is>
      </c>
      <c r="B32" t="inlineStr">
        <is>
          <t>Brookline</t>
        </is>
      </c>
      <c r="C32" s="6" t="inlineStr">
        <is>
          <t>https://www.redfin.com/MA/Boston/64-Queensberry-St-02215/unit-114/home/9241481</t>
        </is>
      </c>
      <c r="D32" s="3" t="n">
        <v>425000</v>
      </c>
      <c r="E32" s="3" t="n">
        <v>395</v>
      </c>
      <c r="F32" t="n">
        <v>0</v>
      </c>
      <c r="G32" t="n">
        <v>1</v>
      </c>
      <c r="H32" s="4" t="n">
        <v>390</v>
      </c>
      <c r="I32" t="inlineStr">
        <is>
          <t>No</t>
        </is>
      </c>
      <c r="J32" t="inlineStr">
        <is>
          <t>0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0</v>
      </c>
      <c r="S32" s="3">
        <f>Q32-R32</f>
        <v/>
      </c>
      <c r="T32" t="n">
        <v>1.3</v>
      </c>
      <c r="U32" t="n">
        <v>11.9</v>
      </c>
      <c r="V32" t="n">
        <v>9.1</v>
      </c>
      <c r="W32" s="7" t="n">
        <v>2.1</v>
      </c>
      <c r="X32" t="inlineStr">
        <is>
          <t>Yellow</t>
        </is>
      </c>
    </row>
    <row r="33">
      <c r="A33" s="8" t="inlineStr">
        <is>
          <t>32 Almont St Unit 32-1, Medford, MA 02155</t>
        </is>
      </c>
      <c r="B33" t="inlineStr">
        <is>
          <t>Medford</t>
        </is>
      </c>
      <c r="C33" s="6" t="inlineStr">
        <is>
          <t>https://www.redfin.com/MA/Medford/32-Almont-St-02155/unit-32-1/home/11802621</t>
        </is>
      </c>
      <c r="D33" s="3" t="n">
        <v>330000</v>
      </c>
      <c r="E33" s="3" t="n">
        <v>291</v>
      </c>
      <c r="F33" t="n">
        <v>1</v>
      </c>
      <c r="G33" t="n">
        <v>1</v>
      </c>
      <c r="H33" s="4" t="n">
        <v>528</v>
      </c>
      <c r="I33" t="inlineStr">
        <is>
          <t>No</t>
        </is>
      </c>
      <c r="J33" t="inlineStr">
        <is>
          <t>0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0</v>
      </c>
      <c r="S33" s="3">
        <f>Q33-R33</f>
        <v/>
      </c>
      <c r="T33" t="n">
        <v>3.4</v>
      </c>
      <c r="U33" t="n">
        <v>11.4</v>
      </c>
      <c r="V33" t="n">
        <v>11.2</v>
      </c>
      <c r="W33" s="7" t="n">
        <v>2.1</v>
      </c>
      <c r="X33" t="inlineStr">
        <is>
          <t>Yellow</t>
        </is>
      </c>
    </row>
    <row r="34">
      <c r="A34" s="8" t="inlineStr">
        <is>
          <t>84 Grant St #12, Somerville, MA 02145</t>
        </is>
      </c>
      <c r="B34" t="inlineStr">
        <is>
          <t>Somerville</t>
        </is>
      </c>
      <c r="C34" s="6" t="inlineStr">
        <is>
          <t>https://www.redfin.com/MA/Somerville/84-Grant-St-02145/unit-12/home/8758283</t>
        </is>
      </c>
      <c r="D34" s="3" t="n">
        <v>395000</v>
      </c>
      <c r="E34" s="3" t="n">
        <v>338</v>
      </c>
      <c r="F34" t="n">
        <v>1</v>
      </c>
      <c r="G34" t="n">
        <v>1</v>
      </c>
      <c r="H34" s="4" t="n">
        <v>640</v>
      </c>
      <c r="I34" t="inlineStr">
        <is>
          <t>No</t>
        </is>
      </c>
      <c r="J34" t="inlineStr">
        <is>
          <t>1 space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0</v>
      </c>
      <c r="S34" s="3">
        <f>Q34-R34</f>
        <v/>
      </c>
      <c r="T34" t="n">
        <v>3.2</v>
      </c>
      <c r="U34" t="n">
        <v>8.199999999999999</v>
      </c>
      <c r="V34" t="n">
        <v>6.8</v>
      </c>
      <c r="W34" s="7" t="n">
        <v>2.1</v>
      </c>
      <c r="X34" t="inlineStr">
        <is>
          <t>Yellow</t>
        </is>
      </c>
    </row>
    <row r="35">
      <c r="A35" s="8" t="inlineStr">
        <is>
          <t>500 Salem St #307, Medford, MA 02155</t>
        </is>
      </c>
      <c r="B35" t="inlineStr">
        <is>
          <t>Medford</t>
        </is>
      </c>
      <c r="C35" s="6" t="inlineStr">
        <is>
          <t>https://www.redfin.com/MA/Medford/500-Salem-St-02155/unit-307/home/11784227</t>
        </is>
      </c>
      <c r="D35" s="3" t="n">
        <v>549000</v>
      </c>
      <c r="E35" s="3" t="n">
        <v>332</v>
      </c>
      <c r="F35" t="n">
        <v>2</v>
      </c>
      <c r="G35" t="n">
        <v>2</v>
      </c>
      <c r="H35" s="4" t="n">
        <v>1086</v>
      </c>
      <c r="I35" t="inlineStr">
        <is>
          <t>No</t>
        </is>
      </c>
      <c r="J35" t="inlineStr">
        <is>
          <t>2 spaces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1235</v>
      </c>
      <c r="S35" s="3">
        <f>Q35-R35</f>
        <v/>
      </c>
      <c r="T35" t="n">
        <v>2.2</v>
      </c>
      <c r="U35" t="n">
        <v>11.6</v>
      </c>
      <c r="V35" t="n">
        <v>10.2</v>
      </c>
      <c r="W35" s="7" t="n">
        <v>2.1</v>
      </c>
      <c r="X35" t="inlineStr">
        <is>
          <t>Yellow</t>
        </is>
      </c>
    </row>
    <row r="36">
      <c r="A36" s="8" t="inlineStr">
        <is>
          <t>872 Massachusetts Ave #303, Cambridge, MA 02139</t>
        </is>
      </c>
      <c r="B36" t="inlineStr">
        <is>
          <t>Cambridge</t>
        </is>
      </c>
      <c r="C36" s="6" t="inlineStr">
        <is>
          <t>https://www.redfin.com/MA/Cambridge/872-Massachusetts-Ave-02139/unit-303/home/136730647</t>
        </is>
      </c>
      <c r="D36" s="3" t="n">
        <v>598000</v>
      </c>
      <c r="E36" s="3" t="n">
        <v>0</v>
      </c>
      <c r="F36" t="n">
        <v>1</v>
      </c>
      <c r="G36" t="n">
        <v>1.5</v>
      </c>
      <c r="H36" s="4" t="n">
        <v>750</v>
      </c>
      <c r="I36" t="inlineStr">
        <is>
          <t>No</t>
        </is>
      </c>
      <c r="J36" t="inlineStr">
        <is>
          <t>1 space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0</v>
      </c>
      <c r="S36" s="3">
        <f>Q36-R36</f>
        <v/>
      </c>
      <c r="T36" t="n">
        <v>1.2</v>
      </c>
      <c r="U36" t="n">
        <v>12.4</v>
      </c>
      <c r="V36" t="n">
        <v>5.8</v>
      </c>
      <c r="W36" s="7" t="n">
        <v>2.05</v>
      </c>
      <c r="X36" t="inlineStr">
        <is>
          <t>Yellow</t>
        </is>
      </c>
    </row>
    <row r="37">
      <c r="A37" s="8" t="inlineStr">
        <is>
          <t>32 Sidlaw #6, Brighton, MA 02135</t>
        </is>
      </c>
      <c r="B37" t="inlineStr">
        <is>
          <t>Brighton</t>
        </is>
      </c>
      <c r="C37" s="6" t="inlineStr">
        <is>
          <t>https://www.redfin.com/MA/Brighton/32-Sidlaw-Rd-02135/unit-6/home/9006968</t>
        </is>
      </c>
      <c r="D37" s="3" t="n">
        <v>335000</v>
      </c>
      <c r="E37" s="3" t="n">
        <v>332</v>
      </c>
      <c r="F37" t="n">
        <v>0</v>
      </c>
      <c r="G37" t="n">
        <v>1</v>
      </c>
      <c r="H37" s="4" t="n">
        <v>346</v>
      </c>
      <c r="I37" t="inlineStr">
        <is>
          <t>No</t>
        </is>
      </c>
      <c r="J37" t="inlineStr">
        <is>
          <t>0 spaces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1.2</v>
      </c>
      <c r="U37" t="n">
        <v>16.1</v>
      </c>
      <c r="V37" t="n">
        <v>14.5</v>
      </c>
      <c r="W37" s="7" t="n">
        <v>2.05</v>
      </c>
      <c r="X37" t="inlineStr">
        <is>
          <t>Yellow</t>
        </is>
      </c>
    </row>
    <row r="38">
      <c r="A38" s="8" t="inlineStr">
        <is>
          <t>88 Gordon St #304, Brighton, MA 02135</t>
        </is>
      </c>
      <c r="B38" t="inlineStr">
        <is>
          <t>Brighton</t>
        </is>
      </c>
      <c r="C38" s="6" t="inlineStr">
        <is>
          <t>https://www.redfin.com/MA/Brighton/88-Gordon-St-02135/unit-304/home/9226535</t>
        </is>
      </c>
      <c r="D38" s="3" t="n">
        <v>399000</v>
      </c>
      <c r="E38" s="3" t="n">
        <v>436</v>
      </c>
      <c r="F38" t="n">
        <v>1</v>
      </c>
      <c r="G38" t="n">
        <v>1</v>
      </c>
      <c r="H38" s="4" t="n">
        <v>533</v>
      </c>
      <c r="I38" t="inlineStr">
        <is>
          <t>No</t>
        </is>
      </c>
      <c r="J38" t="inlineStr">
        <is>
          <t>1 space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3.1</v>
      </c>
      <c r="U38" t="n">
        <v>12.6</v>
      </c>
      <c r="V38" t="n">
        <v>12.2</v>
      </c>
      <c r="W38" s="7" t="n">
        <v>2</v>
      </c>
      <c r="X38" t="inlineStr">
        <is>
          <t>Yellow</t>
        </is>
      </c>
    </row>
    <row r="39">
      <c r="A39" s="8" t="inlineStr">
        <is>
          <t>15 Commonwealth Ct #10, Brighton, MA 02135</t>
        </is>
      </c>
      <c r="B39" t="inlineStr">
        <is>
          <t>Brighton</t>
        </is>
      </c>
      <c r="C39" s="6" t="inlineStr">
        <is>
          <t>https://www.redfin.com/MA/Brighton/15-Commonwealth-Ct-02135/unit-10/home/9014600</t>
        </is>
      </c>
      <c r="D39" s="3" t="n">
        <v>379900</v>
      </c>
      <c r="E39" s="3" t="n">
        <v>500</v>
      </c>
      <c r="F39" t="n">
        <v>1</v>
      </c>
      <c r="G39" t="n">
        <v>1</v>
      </c>
      <c r="H39" s="4" t="n">
        <v>688</v>
      </c>
      <c r="I39" t="inlineStr">
        <is>
          <t>No</t>
        </is>
      </c>
      <c r="J39" t="inlineStr">
        <is>
          <t>1 space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1.2</v>
      </c>
      <c r="U39" t="n">
        <v>12.8</v>
      </c>
      <c r="V39" t="n">
        <v>12.4</v>
      </c>
      <c r="W39" s="7" t="n">
        <v>2</v>
      </c>
      <c r="X39" t="inlineStr">
        <is>
          <t>Yellow</t>
        </is>
      </c>
    </row>
    <row r="40">
      <c r="A40" s="8" t="inlineStr">
        <is>
          <t>1691 Commonwealth Ave #31, Brighton, MA 02135</t>
        </is>
      </c>
      <c r="B40" t="inlineStr">
        <is>
          <t>Brighton</t>
        </is>
      </c>
      <c r="C40" s="6" t="inlineStr">
        <is>
          <t>https://www.redfin.com/MA/Brighton/1691-Commonwealth-Ave-02135/unit-31/home/9020583</t>
        </is>
      </c>
      <c r="D40" s="3" t="n">
        <v>414900</v>
      </c>
      <c r="E40" s="3" t="n">
        <v>360</v>
      </c>
      <c r="F40" t="n">
        <v>1</v>
      </c>
      <c r="G40" t="n">
        <v>1</v>
      </c>
      <c r="H40" s="4" t="n">
        <v>520</v>
      </c>
      <c r="I40" t="inlineStr">
        <is>
          <t>No</t>
        </is>
      </c>
      <c r="J40" t="inlineStr">
        <is>
          <t>0 spaces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0</v>
      </c>
      <c r="S40" s="3">
        <f>Q40-R40</f>
        <v/>
      </c>
      <c r="T40" t="n">
        <v>1.6</v>
      </c>
      <c r="U40" t="n">
        <v>14.9</v>
      </c>
      <c r="V40" t="n">
        <v>14.5</v>
      </c>
      <c r="W40" s="7" t="n">
        <v>2</v>
      </c>
      <c r="X40" t="inlineStr">
        <is>
          <t>Yellow</t>
        </is>
      </c>
    </row>
    <row r="41">
      <c r="A41" s="8" t="inlineStr">
        <is>
          <t>191 Washington St, Boston, MA 02135</t>
        </is>
      </c>
      <c r="B41" t="inlineStr">
        <is>
          <t>Brighton</t>
        </is>
      </c>
      <c r="C41" s="6" t="inlineStr">
        <is>
          <t>https://www.redfin.com/MA/Boston/191-Washington-St-02135/home/184088757</t>
        </is>
      </c>
      <c r="D41" s="3" t="n">
        <v>564800</v>
      </c>
      <c r="E41" s="3" t="n">
        <v>0</v>
      </c>
      <c r="F41" t="n">
        <v>1</v>
      </c>
      <c r="G41" t="n">
        <v>1</v>
      </c>
      <c r="H41" s="4" t="n">
        <v>498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0</v>
      </c>
      <c r="S41" s="3">
        <f>Q41-R41</f>
        <v/>
      </c>
      <c r="T41" t="n">
        <v>2.1</v>
      </c>
      <c r="U41" t="n">
        <v>13.6</v>
      </c>
      <c r="V41" t="n">
        <v>13.2</v>
      </c>
      <c r="W41" s="7" t="n">
        <v>2</v>
      </c>
      <c r="X41" t="inlineStr">
        <is>
          <t>Yellow</t>
        </is>
      </c>
    </row>
    <row r="42">
      <c r="A42" s="8" t="inlineStr">
        <is>
          <t>17 Buckingham St #3, Somerville, MA 02143</t>
        </is>
      </c>
      <c r="B42" t="inlineStr">
        <is>
          <t>Somerville</t>
        </is>
      </c>
      <c r="C42" s="6" t="inlineStr">
        <is>
          <t>https://www.redfin.com/MA/Somerville/17-Buckingham-St-02143/unit-3/home/200344678</t>
        </is>
      </c>
      <c r="D42" s="3" t="n">
        <v>474999</v>
      </c>
      <c r="E42" s="3" t="n">
        <v>233</v>
      </c>
      <c r="F42" t="n">
        <v>1</v>
      </c>
      <c r="G42" t="n">
        <v>1</v>
      </c>
      <c r="H42" s="4" t="n">
        <v>595</v>
      </c>
      <c r="I42" t="inlineStr">
        <is>
          <t>No</t>
        </is>
      </c>
      <c r="J42" t="inlineStr">
        <is>
          <t>1 space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0</v>
      </c>
      <c r="S42" s="3">
        <f>Q42-R42</f>
        <v/>
      </c>
      <c r="T42" t="n">
        <v>3.2</v>
      </c>
      <c r="U42" t="n">
        <v>11.7</v>
      </c>
      <c r="V42" t="n">
        <v>5.9</v>
      </c>
      <c r="W42" s="7" t="n">
        <v>2</v>
      </c>
      <c r="X42" t="inlineStr">
        <is>
          <t>Yellow</t>
        </is>
      </c>
    </row>
    <row r="43">
      <c r="A43" s="8" t="inlineStr">
        <is>
          <t>367 Somerville Ave Unit G, Somerville, MA 02143</t>
        </is>
      </c>
      <c r="B43" t="inlineStr">
        <is>
          <t>Somerville</t>
        </is>
      </c>
      <c r="C43" s="6" t="inlineStr">
        <is>
          <t>https://www.redfin.com/MA/Somerville/367-Somerville-Ave-02143/unit-G/home/8751476</t>
        </is>
      </c>
      <c r="D43" s="3" t="n">
        <v>425000</v>
      </c>
      <c r="E43" s="3" t="n">
        <v>304</v>
      </c>
      <c r="F43" t="n">
        <v>1</v>
      </c>
      <c r="G43" t="n">
        <v>1</v>
      </c>
      <c r="H43" s="4" t="n">
        <v>419</v>
      </c>
      <c r="I43" t="inlineStr">
        <is>
          <t>No</t>
        </is>
      </c>
      <c r="J43" t="inlineStr">
        <is>
          <t>0 spaces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2.1</v>
      </c>
      <c r="U43" t="n">
        <v>10.3</v>
      </c>
      <c r="V43" t="n">
        <v>6</v>
      </c>
      <c r="W43" s="7" t="n">
        <v>2</v>
      </c>
      <c r="X43" t="inlineStr">
        <is>
          <t>Yellow</t>
        </is>
      </c>
    </row>
    <row r="44">
      <c r="A44" s="8" t="inlineStr">
        <is>
          <t>5 Waldo Ave Unit 2A, Somerville, MA 02143</t>
        </is>
      </c>
      <c r="B44" t="inlineStr">
        <is>
          <t>Somerville</t>
        </is>
      </c>
      <c r="C44" s="6" t="inlineStr">
        <is>
          <t>https://www.redfin.com/MA/Somerville/5-Waldo-Ave-02143/unit-2A/home/8759932</t>
        </is>
      </c>
      <c r="D44" s="3" t="n">
        <v>425000</v>
      </c>
      <c r="E44" s="3" t="n">
        <v>317</v>
      </c>
      <c r="F44" t="n">
        <v>1</v>
      </c>
      <c r="G44" t="n">
        <v>1</v>
      </c>
      <c r="H44" s="4" t="n">
        <v>530</v>
      </c>
      <c r="I44" t="inlineStr">
        <is>
          <t>No</t>
        </is>
      </c>
      <c r="J44" t="inlineStr">
        <is>
          <t>0 spaces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0</v>
      </c>
      <c r="S44" s="3">
        <f>Q44-R44</f>
        <v/>
      </c>
      <c r="T44" t="n">
        <v>3.2</v>
      </c>
      <c r="U44" t="n">
        <v>11.7</v>
      </c>
      <c r="V44" t="n">
        <v>6</v>
      </c>
      <c r="W44" s="7" t="n">
        <v>2</v>
      </c>
      <c r="X44" t="inlineStr">
        <is>
          <t>Yellow</t>
        </is>
      </c>
    </row>
    <row r="45">
      <c r="A45" s="8" t="inlineStr">
        <is>
          <t>764 Cambridge St #6, Cambridge, MA 02141</t>
        </is>
      </c>
      <c r="B45" t="inlineStr">
        <is>
          <t>Cambridge</t>
        </is>
      </c>
      <c r="C45" s="6" t="inlineStr">
        <is>
          <t>https://www.redfin.com/MA/Cambridge/764-Cambridge-St-02141/unit-6/home/11601252</t>
        </is>
      </c>
      <c r="D45" s="3" t="n">
        <v>490000</v>
      </c>
      <c r="E45" s="3" t="n">
        <v>385</v>
      </c>
      <c r="F45" t="n">
        <v>1</v>
      </c>
      <c r="G45" t="n">
        <v>1</v>
      </c>
      <c r="H45" s="4" t="n">
        <v>620</v>
      </c>
      <c r="I45" t="inlineStr">
        <is>
          <t>No</t>
        </is>
      </c>
      <c r="J45" t="inlineStr">
        <is>
          <t>0 spaces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0</v>
      </c>
      <c r="S45" s="3">
        <f>Q45-R45</f>
        <v/>
      </c>
      <c r="T45" t="n">
        <v>2.9</v>
      </c>
      <c r="U45" t="n">
        <v>8.699999999999999</v>
      </c>
      <c r="V45" t="n">
        <v>3.7</v>
      </c>
      <c r="W45" s="7" t="n">
        <v>2</v>
      </c>
      <c r="X45" t="inlineStr">
        <is>
          <t>Yellow</t>
        </is>
      </c>
    </row>
    <row r="46">
      <c r="A46" s="8" t="inlineStr">
        <is>
          <t>50 Water St #24, Medford, MA 02155</t>
        </is>
      </c>
      <c r="B46" t="inlineStr">
        <is>
          <t>Medford</t>
        </is>
      </c>
      <c r="C46" s="6" t="inlineStr">
        <is>
          <t>https://www.redfin.com/MA/Medford/50-Water-St-02155/unit-24/home/11787534</t>
        </is>
      </c>
      <c r="D46" s="3" t="n">
        <v>389900</v>
      </c>
      <c r="E46" s="3" t="n">
        <v>465</v>
      </c>
      <c r="F46" t="n">
        <v>1</v>
      </c>
      <c r="G46" t="n">
        <v>1</v>
      </c>
      <c r="H46" s="4" t="n">
        <v>634</v>
      </c>
      <c r="I46" t="inlineStr">
        <is>
          <t>No</t>
        </is>
      </c>
      <c r="J46" t="inlineStr">
        <is>
          <t>1 space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0</v>
      </c>
      <c r="S46" s="3">
        <f>Q46-R46</f>
        <v/>
      </c>
      <c r="T46" t="n">
        <v>3.5</v>
      </c>
      <c r="U46" t="n">
        <v>10.3</v>
      </c>
      <c r="V46" t="n">
        <v>10.5</v>
      </c>
      <c r="W46" s="7" t="n">
        <v>2</v>
      </c>
      <c r="X46" t="inlineStr">
        <is>
          <t>Yellow</t>
        </is>
      </c>
    </row>
    <row r="47">
      <c r="A47" s="8" t="inlineStr">
        <is>
          <t>118 Riverway Unit 12A, Boston, MA 02215</t>
        </is>
      </c>
      <c r="B47" t="inlineStr">
        <is>
          <t>Brookline</t>
        </is>
      </c>
      <c r="C47" s="6" t="inlineStr">
        <is>
          <t>https://www.redfin.com/MA/Boston/118-Riverway-02215/unit-12A/home/9262088</t>
        </is>
      </c>
      <c r="D47" s="3" t="n">
        <v>519900</v>
      </c>
      <c r="E47" s="3" t="n">
        <v>330</v>
      </c>
      <c r="F47" t="n">
        <v>0</v>
      </c>
      <c r="G47" t="n">
        <v>1</v>
      </c>
      <c r="H47" s="4" t="n">
        <v>503</v>
      </c>
      <c r="I47" t="inlineStr">
        <is>
          <t>No</t>
        </is>
      </c>
      <c r="J47" t="inlineStr">
        <is>
          <t>0 spaces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0</v>
      </c>
      <c r="S47" s="3">
        <f>Q47-R47</f>
        <v/>
      </c>
      <c r="T47" t="n">
        <v>2.5</v>
      </c>
      <c r="U47" t="n">
        <v>14.1</v>
      </c>
      <c r="V47" t="n">
        <v>10.3</v>
      </c>
      <c r="W47" s="7" t="n">
        <v>2</v>
      </c>
      <c r="X47" t="inlineStr">
        <is>
          <t>Yellow</t>
        </is>
      </c>
    </row>
    <row r="48">
      <c r="A48" s="8" t="inlineStr">
        <is>
          <t>1-Bedroom Plan, Quincy, MA 02169</t>
        </is>
      </c>
      <c r="B48" t="inlineStr">
        <is>
          <t>Quincy</t>
        </is>
      </c>
      <c r="C48" s="6" t="inlineStr">
        <is>
          <t>https://www.redfin.com/MA/Quincy/Quincy/1-Bedroom/home/197950895</t>
        </is>
      </c>
      <c r="D48" s="3" t="n">
        <v>399000</v>
      </c>
      <c r="E48" s="3" t="n">
        <v>0</v>
      </c>
      <c r="F48" t="n">
        <v>1</v>
      </c>
      <c r="G48" t="n">
        <v>1</v>
      </c>
      <c r="H48" s="4" t="n">
        <v>500</v>
      </c>
      <c r="I48" t="inlineStr">
        <is>
          <t>No</t>
        </is>
      </c>
      <c r="J48" t="inlineStr">
        <is>
          <t>Unknown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1.4</v>
      </c>
      <c r="U48" t="n">
        <v>17.1</v>
      </c>
      <c r="V48" t="n">
        <v>21.2</v>
      </c>
      <c r="W48" s="7" t="n">
        <v>1.95</v>
      </c>
      <c r="X48" t="inlineStr">
        <is>
          <t>Yellow</t>
        </is>
      </c>
    </row>
    <row r="49">
      <c r="A49" s="8" t="inlineStr">
        <is>
          <t>2-Bedrooms Plan, Quincy, MA 02169</t>
        </is>
      </c>
      <c r="B49" t="inlineStr">
        <is>
          <t>Quincy</t>
        </is>
      </c>
      <c r="C49" s="6" t="inlineStr">
        <is>
          <t>https://www.redfin.com/MA/Quincy/Quincy/2-Bedrooms/home/197950891</t>
        </is>
      </c>
      <c r="D49" s="3" t="n">
        <v>599000</v>
      </c>
      <c r="E49" s="3" t="n">
        <v>0</v>
      </c>
      <c r="F49" t="n">
        <v>2</v>
      </c>
      <c r="G49" t="n">
        <v>2</v>
      </c>
      <c r="H49" s="4" t="n">
        <v>900</v>
      </c>
      <c r="I49" t="inlineStr">
        <is>
          <t>No</t>
        </is>
      </c>
      <c r="J49" t="inlineStr">
        <is>
          <t>Unknown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1170</v>
      </c>
      <c r="S49" s="3">
        <f>Q49-R49</f>
        <v/>
      </c>
      <c r="T49" t="n">
        <v>1.4</v>
      </c>
      <c r="U49" t="n">
        <v>17.1</v>
      </c>
      <c r="V49" t="n">
        <v>21.2</v>
      </c>
      <c r="W49" s="7" t="n">
        <v>1.95</v>
      </c>
      <c r="X49" t="inlineStr">
        <is>
          <t>Yellow</t>
        </is>
      </c>
    </row>
    <row r="50">
      <c r="A50" s="8" t="inlineStr">
        <is>
          <t>31 Warren St Unit B1, Waltham, MA 02453</t>
        </is>
      </c>
      <c r="B50" t="inlineStr">
        <is>
          <t>Waltham</t>
        </is>
      </c>
      <c r="C50" s="6" t="inlineStr">
        <is>
          <t>https://www.redfin.com/MA/Waltham/31-Warren-St-02453/unit-B1/home/11815449</t>
        </is>
      </c>
      <c r="D50" s="3" t="n">
        <v>429000</v>
      </c>
      <c r="E50" s="3" t="n">
        <v>497</v>
      </c>
      <c r="F50" t="n">
        <v>2</v>
      </c>
      <c r="G50" t="n">
        <v>1</v>
      </c>
      <c r="H50" s="4" t="n">
        <v>708</v>
      </c>
      <c r="I50" t="inlineStr">
        <is>
          <t>No</t>
        </is>
      </c>
      <c r="J50" t="inlineStr">
        <is>
          <t>2 spaces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1235</v>
      </c>
      <c r="S50" s="3">
        <f>Q50-R50</f>
        <v/>
      </c>
      <c r="T50" t="n">
        <v>10.5</v>
      </c>
      <c r="U50" t="n">
        <v>19.2</v>
      </c>
      <c r="V50" t="n">
        <v>18</v>
      </c>
      <c r="W50" s="7" t="n">
        <v>1.95</v>
      </c>
      <c r="X50" t="inlineStr">
        <is>
          <t>Yellow</t>
        </is>
      </c>
    </row>
    <row r="51">
      <c r="A51" s="8" t="inlineStr">
        <is>
          <t>1151 Walnut #304, Newton, MA 02461</t>
        </is>
      </c>
      <c r="B51" t="inlineStr">
        <is>
          <t>Newton</t>
        </is>
      </c>
      <c r="C51" s="6" t="inlineStr">
        <is>
          <t>https://www.redfin.com/MA/Newton/1151-Walnut-St-02461/unit-304/home/200156614</t>
        </is>
      </c>
      <c r="D51" s="3" t="n">
        <v>495000</v>
      </c>
      <c r="E51" s="3" t="n">
        <v>196</v>
      </c>
      <c r="F51" t="n">
        <v>0</v>
      </c>
      <c r="G51" t="n">
        <v>1</v>
      </c>
      <c r="H51" s="4" t="n">
        <v>511</v>
      </c>
      <c r="I51" t="inlineStr">
        <is>
          <t>No</t>
        </is>
      </c>
      <c r="J51" t="inlineStr">
        <is>
          <t>0 spaces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0</v>
      </c>
      <c r="S51" s="3">
        <f>Q51-R51</f>
        <v/>
      </c>
      <c r="T51" t="n">
        <v>0.1</v>
      </c>
      <c r="U51" t="n">
        <v>19.4</v>
      </c>
      <c r="V51" t="n">
        <v>19.9</v>
      </c>
      <c r="W51" s="7" t="n">
        <v>1.95</v>
      </c>
      <c r="X51" t="inlineStr">
        <is>
          <t>Yellow</t>
        </is>
      </c>
    </row>
    <row r="52">
      <c r="A52" s="8" t="inlineStr">
        <is>
          <t>42 Bryon Rd #6, Chestnut Hill, MA 02132</t>
        </is>
      </c>
      <c r="B52" t="inlineStr">
        <is>
          <t>Newton</t>
        </is>
      </c>
      <c r="C52" s="6" t="inlineStr">
        <is>
          <t>https://www.redfin.com/MA/Chestnut-Hill/42-Bryon-Rd-02467/unit-6/home/9204495</t>
        </is>
      </c>
      <c r="D52" s="3" t="n">
        <v>449900</v>
      </c>
      <c r="E52" s="3" t="n">
        <v>465</v>
      </c>
      <c r="F52" t="n">
        <v>2</v>
      </c>
      <c r="G52" t="n">
        <v>1</v>
      </c>
      <c r="H52" s="4" t="n">
        <v>780</v>
      </c>
      <c r="I52" t="inlineStr">
        <is>
          <t>No</t>
        </is>
      </c>
      <c r="J52" t="inlineStr">
        <is>
          <t>2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1430</v>
      </c>
      <c r="S52" s="3">
        <f>Q52-R52</f>
        <v/>
      </c>
      <c r="T52" t="n">
        <v>6.1</v>
      </c>
      <c r="U52" t="n">
        <v>23.2</v>
      </c>
      <c r="V52" t="n">
        <v>21.6</v>
      </c>
      <c r="W52" s="7" t="n">
        <v>1.95</v>
      </c>
      <c r="X52" t="inlineStr">
        <is>
          <t>Yellow</t>
        </is>
      </c>
    </row>
    <row r="53">
      <c r="A53" s="8" t="inlineStr">
        <is>
          <t>7 Lothian Rd Unit B, Brighton, MA 02135</t>
        </is>
      </c>
      <c r="B53" t="inlineStr">
        <is>
          <t>Brighton</t>
        </is>
      </c>
      <c r="C53" s="6" t="inlineStr">
        <is>
          <t>https://www.redfin.com/MA/Brighton/7-Lothian-Rd-02135/unit-B/home/9025402</t>
        </is>
      </c>
      <c r="D53" s="3" t="n">
        <v>539900</v>
      </c>
      <c r="E53" s="3" t="n">
        <v>417</v>
      </c>
      <c r="F53" t="n">
        <v>3</v>
      </c>
      <c r="G53" t="n">
        <v>1</v>
      </c>
      <c r="H53" s="4" t="n">
        <v>900</v>
      </c>
      <c r="I53" t="inlineStr">
        <is>
          <t>No</t>
        </is>
      </c>
      <c r="J53" t="inlineStr">
        <is>
          <t>0 spaces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1300</v>
      </c>
      <c r="S53" s="3">
        <f>Q53-R53</f>
        <v/>
      </c>
      <c r="T53" t="n">
        <v>1.2</v>
      </c>
      <c r="U53" t="n">
        <v>16</v>
      </c>
      <c r="V53" t="n">
        <v>14.4</v>
      </c>
      <c r="W53" s="7" t="n">
        <v>1.95</v>
      </c>
      <c r="X53" t="inlineStr">
        <is>
          <t>Yellow</t>
        </is>
      </c>
    </row>
    <row r="54">
      <c r="A54" s="8" t="inlineStr">
        <is>
          <t>6 Washington Ave #11, Cambridge, MA 02140</t>
        </is>
      </c>
      <c r="B54" t="inlineStr">
        <is>
          <t>Cambridge</t>
        </is>
      </c>
      <c r="C54" s="6" t="inlineStr">
        <is>
          <t>https://www.redfin.com/MA/Cambridge/6-Washington-Ave-02140/unit-11/home/11585376</t>
        </is>
      </c>
      <c r="D54" s="3" t="n">
        <v>469000</v>
      </c>
      <c r="E54" s="3" t="n">
        <v>320</v>
      </c>
      <c r="F54" t="n">
        <v>0</v>
      </c>
      <c r="G54" t="n">
        <v>1</v>
      </c>
      <c r="H54" s="4" t="n">
        <v>433</v>
      </c>
      <c r="I54" t="inlineStr">
        <is>
          <t>No</t>
        </is>
      </c>
      <c r="J54" t="inlineStr">
        <is>
          <t>0 spaces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2.1</v>
      </c>
      <c r="U54" t="n">
        <v>15.8</v>
      </c>
      <c r="V54" t="n">
        <v>10.3</v>
      </c>
      <c r="W54" s="7" t="n">
        <v>1.95</v>
      </c>
      <c r="X54" t="inlineStr">
        <is>
          <t>Yellow</t>
        </is>
      </c>
    </row>
    <row r="55">
      <c r="A55" s="8" t="inlineStr">
        <is>
          <t>31 Weston St #2, Waltham, MA 02453</t>
        </is>
      </c>
      <c r="B55" t="inlineStr">
        <is>
          <t>Waltham</t>
        </is>
      </c>
      <c r="C55" s="6" t="inlineStr">
        <is>
          <t>https://www.redfin.com/MA/Waltham/31-Weston-St-02453/unit-2/home/11822835</t>
        </is>
      </c>
      <c r="D55" s="3" t="n">
        <v>425000</v>
      </c>
      <c r="E55" s="3" t="n">
        <v>430</v>
      </c>
      <c r="F55" t="n">
        <v>2</v>
      </c>
      <c r="G55" t="n">
        <v>1</v>
      </c>
      <c r="H55" s="4" t="n">
        <v>1175</v>
      </c>
      <c r="I55" t="inlineStr">
        <is>
          <t>No</t>
        </is>
      </c>
      <c r="J55" t="inlineStr">
        <is>
          <t>0 spaces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1235</v>
      </c>
      <c r="S55" s="3">
        <f>Q55-R55</f>
        <v/>
      </c>
      <c r="T55" t="n">
        <v>9.800000000000001</v>
      </c>
      <c r="U55" t="n">
        <v>22.9</v>
      </c>
      <c r="V55" t="n">
        <v>22</v>
      </c>
      <c r="W55" s="7" t="n">
        <v>1.95</v>
      </c>
      <c r="X55" t="inlineStr">
        <is>
          <t>Yellow</t>
        </is>
      </c>
    </row>
    <row r="56">
      <c r="A56" s="8" t="inlineStr">
        <is>
          <t>1151 Walnut #207, Newton, MA 02461</t>
        </is>
      </c>
      <c r="B56" t="inlineStr">
        <is>
          <t>Newton</t>
        </is>
      </c>
      <c r="C56" s="6" t="inlineStr">
        <is>
          <t>https://www.redfin.com/MA/Newton/1151-Walnut-St-02461/unit-207/home/198507382</t>
        </is>
      </c>
      <c r="D56" s="3" t="n">
        <v>450000</v>
      </c>
      <c r="E56" s="3" t="n">
        <v>164</v>
      </c>
      <c r="F56" t="n">
        <v>0</v>
      </c>
      <c r="G56" t="n">
        <v>1</v>
      </c>
      <c r="H56" s="4" t="n">
        <v>455</v>
      </c>
      <c r="I56" t="inlineStr">
        <is>
          <t>No</t>
        </is>
      </c>
      <c r="J56" t="inlineStr">
        <is>
          <t>0 spaces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0.1</v>
      </c>
      <c r="U56" t="n">
        <v>19.4</v>
      </c>
      <c r="V56" t="n">
        <v>19.9</v>
      </c>
      <c r="W56" s="7" t="n">
        <v>1.95</v>
      </c>
      <c r="X56" t="inlineStr">
        <is>
          <t>Yellow</t>
        </is>
      </c>
    </row>
    <row r="57">
      <c r="A57" s="8" t="inlineStr">
        <is>
          <t>138 Quincy Shore Dr #170, Quincy, MA 02171</t>
        </is>
      </c>
      <c r="B57" t="inlineStr">
        <is>
          <t>Quincy</t>
        </is>
      </c>
      <c r="C57" s="6" t="inlineStr">
        <is>
          <t>https://www.redfin.com/MA/Quincy/138-Quincy-Shore-Dr-02171/unit-170/home/9010050</t>
        </is>
      </c>
      <c r="D57" s="3" t="n">
        <v>589999</v>
      </c>
      <c r="E57" s="3" t="n">
        <v>497</v>
      </c>
      <c r="F57" t="n">
        <v>2</v>
      </c>
      <c r="G57" t="n">
        <v>2.5</v>
      </c>
      <c r="H57" s="4" t="n">
        <v>1460</v>
      </c>
      <c r="I57" t="inlineStr">
        <is>
          <t>No</t>
        </is>
      </c>
      <c r="J57" t="inlineStr">
        <is>
          <t>2 spaces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1170</v>
      </c>
      <c r="S57" s="3">
        <f>Q57-R57</f>
        <v/>
      </c>
      <c r="T57" t="n">
        <v>4.5</v>
      </c>
      <c r="U57" t="n">
        <v>12.1</v>
      </c>
      <c r="V57" t="n">
        <v>16.2</v>
      </c>
      <c r="W57" s="7" t="n">
        <v>1.9</v>
      </c>
      <c r="X57" t="inlineStr">
        <is>
          <t>Yellow</t>
        </is>
      </c>
    </row>
    <row r="58">
      <c r="A58" s="8" t="inlineStr">
        <is>
          <t>35 Homer Ave #7, Cambridge, MA 02138</t>
        </is>
      </c>
      <c r="B58" t="inlineStr">
        <is>
          <t>Watertown</t>
        </is>
      </c>
      <c r="C58" s="6" t="inlineStr">
        <is>
          <t>https://www.redfin.com/MA/Cambridge/35-Homer-Ave-02138/unit-7/home/12442078</t>
        </is>
      </c>
      <c r="D58" s="3" t="n">
        <v>500000</v>
      </c>
      <c r="E58" s="3" t="n">
        <v>325</v>
      </c>
      <c r="F58" t="n">
        <v>1</v>
      </c>
      <c r="G58" t="n">
        <v>1</v>
      </c>
      <c r="H58" s="4" t="n">
        <v>504</v>
      </c>
      <c r="I58" t="inlineStr">
        <is>
          <t>No</t>
        </is>
      </c>
      <c r="J58" t="inlineStr">
        <is>
          <t>1 space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0</v>
      </c>
      <c r="S58" s="3">
        <f>Q58-R58</f>
        <v/>
      </c>
      <c r="T58" t="n">
        <v>5</v>
      </c>
      <c r="U58" t="n">
        <v>14.2</v>
      </c>
      <c r="V58" t="n">
        <v>11.8</v>
      </c>
      <c r="W58" s="7" t="n">
        <v>1.9</v>
      </c>
      <c r="X58" t="inlineStr">
        <is>
          <t>Yellow</t>
        </is>
      </c>
    </row>
    <row r="59">
      <c r="A59" s="8" t="inlineStr">
        <is>
          <t>100 Lanark Rd #8, Brighton, MA 02135</t>
        </is>
      </c>
      <c r="B59" t="inlineStr">
        <is>
          <t>Brighton</t>
        </is>
      </c>
      <c r="C59" s="6" t="inlineStr">
        <is>
          <t>https://www.redfin.com/MA/Brighton/100-Lanark-Rd-02135/unit-8/home/9022520</t>
        </is>
      </c>
      <c r="D59" s="3" t="n">
        <v>420000</v>
      </c>
      <c r="E59" s="3" t="n">
        <v>500</v>
      </c>
      <c r="F59" t="n">
        <v>1</v>
      </c>
      <c r="G59" t="n">
        <v>1</v>
      </c>
      <c r="H59" s="4" t="n">
        <v>560</v>
      </c>
      <c r="I59" t="inlineStr">
        <is>
          <t>No</t>
        </is>
      </c>
      <c r="J59" t="inlineStr">
        <is>
          <t>0 spaces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0</v>
      </c>
      <c r="S59" s="3">
        <f>Q59-R59</f>
        <v/>
      </c>
      <c r="T59" t="n">
        <v>0.8</v>
      </c>
      <c r="U59" t="n">
        <v>14.8</v>
      </c>
      <c r="V59" t="n">
        <v>14</v>
      </c>
      <c r="W59" s="7" t="n">
        <v>1.9</v>
      </c>
      <c r="X59" t="inlineStr">
        <is>
          <t>Yellow</t>
        </is>
      </c>
    </row>
    <row r="60">
      <c r="A60" s="8" t="inlineStr">
        <is>
          <t>4 Franklin St #202, Boston, MA 02134</t>
        </is>
      </c>
      <c r="B60" t="inlineStr">
        <is>
          <t>Allston</t>
        </is>
      </c>
      <c r="C60" s="6" t="inlineStr">
        <is>
          <t>https://www.redfin.com/MA/Boston/4-Franklin-St-02134/unit-202/home/190592119</t>
        </is>
      </c>
      <c r="D60" s="3" t="n">
        <v>588000</v>
      </c>
      <c r="E60" s="3" t="n">
        <v>243</v>
      </c>
      <c r="F60" t="n">
        <v>1</v>
      </c>
      <c r="G60" t="n">
        <v>1</v>
      </c>
      <c r="H60" s="4" t="n">
        <v>641</v>
      </c>
      <c r="I60" t="inlineStr">
        <is>
          <t>No</t>
        </is>
      </c>
      <c r="J60" t="inlineStr">
        <is>
          <t>1 space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0</v>
      </c>
      <c r="S60" s="3">
        <f>Q60-R60</f>
        <v/>
      </c>
      <c r="T60" t="n">
        <v>1.4</v>
      </c>
      <c r="U60" t="n">
        <v>9.699999999999999</v>
      </c>
      <c r="V60" t="n">
        <v>9.300000000000001</v>
      </c>
      <c r="W60" s="7" t="n">
        <v>1.9</v>
      </c>
      <c r="X60" t="inlineStr">
        <is>
          <t>Yellow</t>
        </is>
      </c>
    </row>
    <row r="61">
      <c r="A61" s="8" t="inlineStr">
        <is>
          <t>148 Berkshire St Unit 148-4, Cambridge, MA 02141</t>
        </is>
      </c>
      <c r="B61" t="inlineStr">
        <is>
          <t>Cambridge</t>
        </is>
      </c>
      <c r="C61" s="6" t="inlineStr">
        <is>
          <t>https://www.redfin.com/MA/Cambridge/148-Berkshire-St-02141/unit-148-4/home/200523526</t>
        </is>
      </c>
      <c r="D61" s="3" t="n">
        <v>535000</v>
      </c>
      <c r="E61" s="3" t="n">
        <v>301</v>
      </c>
      <c r="F61" t="n">
        <v>1</v>
      </c>
      <c r="G61" t="n">
        <v>1</v>
      </c>
      <c r="H61" s="4" t="n">
        <v>530</v>
      </c>
      <c r="I61" t="inlineStr">
        <is>
          <t>No</t>
        </is>
      </c>
      <c r="J61" t="inlineStr">
        <is>
          <t>0 spaces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0</v>
      </c>
      <c r="S61" s="3">
        <f>Q61-R61</f>
        <v/>
      </c>
      <c r="T61" t="n">
        <v>3</v>
      </c>
      <c r="U61" t="n">
        <v>8.800000000000001</v>
      </c>
      <c r="V61" t="n">
        <v>3.8</v>
      </c>
      <c r="W61" s="7" t="n">
        <v>1.9</v>
      </c>
      <c r="X61" t="inlineStr">
        <is>
          <t>Yellow</t>
        </is>
      </c>
    </row>
    <row r="62">
      <c r="A62" s="8" t="inlineStr">
        <is>
          <t>111 Jersey St #15, Boston, MA 02215</t>
        </is>
      </c>
      <c r="B62" t="inlineStr">
        <is>
          <t>Brookline</t>
        </is>
      </c>
      <c r="C62" s="6" t="inlineStr">
        <is>
          <t>https://www.redfin.com/MA/Boston/111-Jersey-St-02215/unit-15/home/9317643</t>
        </is>
      </c>
      <c r="D62" s="3" t="n">
        <v>529000</v>
      </c>
      <c r="E62" s="3" t="n">
        <v>281</v>
      </c>
      <c r="F62" t="n">
        <v>1</v>
      </c>
      <c r="G62" t="n">
        <v>1</v>
      </c>
      <c r="H62" s="4" t="n">
        <v>395</v>
      </c>
      <c r="I62" t="inlineStr">
        <is>
          <t>No</t>
        </is>
      </c>
      <c r="J62" t="inlineStr">
        <is>
          <t>0 spaces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0</v>
      </c>
      <c r="S62" s="3">
        <f>Q62-R62</f>
        <v/>
      </c>
      <c r="T62" t="n">
        <v>1.1</v>
      </c>
      <c r="U62" t="n">
        <v>11.3</v>
      </c>
      <c r="V62" t="n">
        <v>8.4</v>
      </c>
      <c r="W62" s="7" t="n">
        <v>1.9</v>
      </c>
      <c r="X62" t="inlineStr">
        <is>
          <t>Yellow</t>
        </is>
      </c>
    </row>
    <row r="63">
      <c r="A63" s="8" t="inlineStr">
        <is>
          <t>24 Rush St Unit E, Somerville, MA 02145</t>
        </is>
      </c>
      <c r="B63" t="inlineStr">
        <is>
          <t>Somerville</t>
        </is>
      </c>
      <c r="C63" s="6" t="inlineStr">
        <is>
          <t>https://www.redfin.com/MA/Somerville/24-Rush-St-02145/unit-E/home/172903953</t>
        </is>
      </c>
      <c r="D63" s="3" t="n">
        <v>519000</v>
      </c>
      <c r="E63" s="3" t="n">
        <v>292</v>
      </c>
      <c r="F63" t="n">
        <v>1</v>
      </c>
      <c r="G63" t="n">
        <v>1</v>
      </c>
      <c r="H63" s="4" t="n">
        <v>644</v>
      </c>
      <c r="I63" t="inlineStr">
        <is>
          <t>No</t>
        </is>
      </c>
      <c r="J63" t="inlineStr">
        <is>
          <t>1 space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0</v>
      </c>
      <c r="S63" s="3">
        <f>Q63-R63</f>
        <v/>
      </c>
      <c r="T63" t="n">
        <v>3.3</v>
      </c>
      <c r="U63" t="n">
        <v>9.199999999999999</v>
      </c>
      <c r="V63" t="n">
        <v>7</v>
      </c>
      <c r="W63" s="7" t="n">
        <v>1.9</v>
      </c>
      <c r="X63" t="inlineStr">
        <is>
          <t>Yellow</t>
        </is>
      </c>
    </row>
    <row r="64">
      <c r="A64" s="8" t="inlineStr">
        <is>
          <t>388 Washington St #101, Quincy, MA 02169</t>
        </is>
      </c>
      <c r="B64" t="inlineStr">
        <is>
          <t>Quincy</t>
        </is>
      </c>
      <c r="C64" s="6" t="inlineStr">
        <is>
          <t>https://www.redfin.com/MA/Quincy/388-Washington-St-02169/unit-101/home/200568725</t>
        </is>
      </c>
      <c r="D64" s="3" t="n">
        <v>599000</v>
      </c>
      <c r="E64" s="3" t="n">
        <v>375</v>
      </c>
      <c r="F64" t="n">
        <v>2</v>
      </c>
      <c r="G64" t="n">
        <v>2</v>
      </c>
      <c r="H64" s="4" t="n">
        <v>983</v>
      </c>
      <c r="I64" t="inlineStr">
        <is>
          <t>No</t>
        </is>
      </c>
      <c r="J64" t="inlineStr">
        <is>
          <t>1 space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1170</v>
      </c>
      <c r="S64" s="3">
        <f>Q64-R64</f>
        <v/>
      </c>
      <c r="T64" t="n">
        <v>2.7</v>
      </c>
      <c r="U64" t="n">
        <v>18.8</v>
      </c>
      <c r="V64" t="n">
        <v>22.9</v>
      </c>
      <c r="W64" s="7" t="n">
        <v>1.85</v>
      </c>
      <c r="X64" t="inlineStr">
        <is>
          <t>Yellow</t>
        </is>
      </c>
    </row>
    <row r="65">
      <c r="A65" s="8" t="inlineStr">
        <is>
          <t>20 Whitney Unit U:1, Quincy, MA 02169</t>
        </is>
      </c>
      <c r="B65" t="inlineStr">
        <is>
          <t>Quincy</t>
        </is>
      </c>
      <c r="C65" s="6" t="inlineStr">
        <is>
          <t>https://www.redfin.com/MA/Quincy/20-Whitney-Rd-02169/unit-U-1/home/200248173</t>
        </is>
      </c>
      <c r="D65" s="3" t="n">
        <v>499000</v>
      </c>
      <c r="E65" s="3" t="n">
        <v>200</v>
      </c>
      <c r="F65" t="n">
        <v>1</v>
      </c>
      <c r="G65" t="n">
        <v>1</v>
      </c>
      <c r="H65" s="4" t="n">
        <v>638</v>
      </c>
      <c r="I65" t="inlineStr">
        <is>
          <t>No</t>
        </is>
      </c>
      <c r="J65" t="inlineStr">
        <is>
          <t>1 space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0</v>
      </c>
      <c r="S65" s="3">
        <f>Q65-R65</f>
        <v/>
      </c>
      <c r="T65" t="n">
        <v>1.4</v>
      </c>
      <c r="U65" t="n">
        <v>17.1</v>
      </c>
      <c r="V65" t="n">
        <v>21.2</v>
      </c>
      <c r="W65" s="7" t="n">
        <v>1.85</v>
      </c>
      <c r="X65" t="inlineStr">
        <is>
          <t>Yellow</t>
        </is>
      </c>
    </row>
    <row r="66">
      <c r="A66" s="8" t="inlineStr">
        <is>
          <t>20 Whitney Rd #101, Quincy, MA 02169</t>
        </is>
      </c>
      <c r="B66" t="inlineStr">
        <is>
          <t>Quincy</t>
        </is>
      </c>
      <c r="C66" s="6" t="inlineStr">
        <is>
          <t>https://www.redfin.com/MA/Quincy/20-Whitney-Rd-02169/unit-101/home/196906729</t>
        </is>
      </c>
      <c r="D66" s="3" t="n">
        <v>499000</v>
      </c>
      <c r="E66" s="3" t="n">
        <v>0</v>
      </c>
      <c r="F66" t="n">
        <v>1</v>
      </c>
      <c r="G66" t="n">
        <v>1</v>
      </c>
      <c r="H66" s="4" t="n">
        <v>575</v>
      </c>
      <c r="I66" t="inlineStr">
        <is>
          <t>No</t>
        </is>
      </c>
      <c r="J66" t="inlineStr">
        <is>
          <t>Unknown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0</v>
      </c>
      <c r="S66" s="3">
        <f>Q66-R66</f>
        <v/>
      </c>
      <c r="T66" t="n">
        <v>1.4</v>
      </c>
      <c r="U66" t="n">
        <v>17.1</v>
      </c>
      <c r="V66" t="n">
        <v>21.2</v>
      </c>
      <c r="W66" s="7" t="n">
        <v>1.85</v>
      </c>
      <c r="X66" t="inlineStr">
        <is>
          <t>Yellow</t>
        </is>
      </c>
    </row>
    <row r="67">
      <c r="A67" s="8" t="inlineStr">
        <is>
          <t>56 Ralph St #3, Watertown, MA 02472</t>
        </is>
      </c>
      <c r="B67" t="inlineStr">
        <is>
          <t>Watertown</t>
        </is>
      </c>
      <c r="C67" s="6" t="inlineStr">
        <is>
          <t>https://www.redfin.com/MA/Watertown/56-Ralph-St-02472/unit-3/home/57314411</t>
        </is>
      </c>
      <c r="D67" s="3" t="n">
        <v>474900</v>
      </c>
      <c r="E67" s="3" t="n">
        <v>183</v>
      </c>
      <c r="F67" t="n">
        <v>1</v>
      </c>
      <c r="G67" t="n">
        <v>1</v>
      </c>
      <c r="H67" s="4" t="n">
        <v>983</v>
      </c>
      <c r="I67" t="inlineStr">
        <is>
          <t>No</t>
        </is>
      </c>
      <c r="J67" t="inlineStr">
        <is>
          <t>2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0</v>
      </c>
      <c r="S67" s="3">
        <f>Q67-R67</f>
        <v/>
      </c>
      <c r="T67" t="n">
        <v>8.9</v>
      </c>
      <c r="U67" t="n">
        <v>18.8</v>
      </c>
      <c r="V67" t="n">
        <v>16.4</v>
      </c>
      <c r="W67" s="7" t="n">
        <v>1.85</v>
      </c>
      <c r="X67" t="inlineStr">
        <is>
          <t>Yellow</t>
        </is>
      </c>
    </row>
    <row r="68">
      <c r="A68" s="8" t="inlineStr">
        <is>
          <t>60 Sutherland Rd #4, Brighton, MA 02135</t>
        </is>
      </c>
      <c r="B68" t="inlineStr">
        <is>
          <t>Brighton</t>
        </is>
      </c>
      <c r="C68" s="6" t="inlineStr">
        <is>
          <t>https://www.redfin.com/MA/Brighton/60-Sutherland-Rd-02135/unit-4/home/9026345</t>
        </is>
      </c>
      <c r="D68" s="3" t="n">
        <v>585000</v>
      </c>
      <c r="E68" s="3" t="n">
        <v>492</v>
      </c>
      <c r="F68" t="n">
        <v>2</v>
      </c>
      <c r="G68" t="n">
        <v>1</v>
      </c>
      <c r="H68" s="4" t="n">
        <v>877</v>
      </c>
      <c r="I68" t="inlineStr">
        <is>
          <t>No</t>
        </is>
      </c>
      <c r="J68" t="inlineStr">
        <is>
          <t>1 space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1300</v>
      </c>
      <c r="S68" s="3">
        <f>Q68-R68</f>
        <v/>
      </c>
      <c r="T68" t="n">
        <v>0.8</v>
      </c>
      <c r="U68" t="n">
        <v>15.3</v>
      </c>
      <c r="V68" t="n">
        <v>13.6</v>
      </c>
      <c r="W68" s="7" t="n">
        <v>1.85</v>
      </c>
      <c r="X68" t="inlineStr">
        <is>
          <t>Yellow</t>
        </is>
      </c>
    </row>
    <row r="69">
      <c r="A69" s="8" t="inlineStr">
        <is>
          <t>1945 Commonwealth Ave #4, Brighton, MA 02135</t>
        </is>
      </c>
      <c r="B69" t="inlineStr">
        <is>
          <t>Brighton</t>
        </is>
      </c>
      <c r="C69" s="6" t="inlineStr">
        <is>
          <t>https://www.redfin.com/MA/Brighton/1945-Commonwealth-Ave-02135/unit-4/home/9242382</t>
        </is>
      </c>
      <c r="D69" s="3" t="n">
        <v>439000</v>
      </c>
      <c r="E69" s="3" t="n">
        <v>364</v>
      </c>
      <c r="F69" t="n">
        <v>1</v>
      </c>
      <c r="G69" t="n">
        <v>1</v>
      </c>
      <c r="H69" s="4" t="n">
        <v>605</v>
      </c>
      <c r="I69" t="inlineStr">
        <is>
          <t>No</t>
        </is>
      </c>
      <c r="J69" t="inlineStr">
        <is>
          <t>0 spaces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0</v>
      </c>
      <c r="S69" s="3">
        <f>Q69-R69</f>
        <v/>
      </c>
      <c r="T69" t="n">
        <v>1.8</v>
      </c>
      <c r="U69" t="n">
        <v>16.7</v>
      </c>
      <c r="V69" t="n">
        <v>15</v>
      </c>
      <c r="W69" s="7" t="n">
        <v>1.85</v>
      </c>
      <c r="X69" t="inlineStr">
        <is>
          <t>Yellow</t>
        </is>
      </c>
    </row>
    <row r="70">
      <c r="A70" s="8" t="inlineStr">
        <is>
          <t>26 Chiswick Rd #6, Brighton, MA 02135</t>
        </is>
      </c>
      <c r="B70" t="inlineStr">
        <is>
          <t>Brighton</t>
        </is>
      </c>
      <c r="C70" s="6" t="inlineStr">
        <is>
          <t>https://www.redfin.com/MA/Brighton/26-Chiswick-Rd-02135/unit-6/home/9026723</t>
        </is>
      </c>
      <c r="D70" s="3" t="n">
        <v>368000</v>
      </c>
      <c r="E70" s="3" t="n">
        <v>472</v>
      </c>
      <c r="F70" t="n">
        <v>1</v>
      </c>
      <c r="G70" t="n">
        <v>1</v>
      </c>
      <c r="H70" s="4" t="n">
        <v>470</v>
      </c>
      <c r="I70" t="inlineStr">
        <is>
          <t>No</t>
        </is>
      </c>
      <c r="J70" t="inlineStr">
        <is>
          <t>0 spaces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0</v>
      </c>
      <c r="S70" s="3">
        <f>Q70-R70</f>
        <v/>
      </c>
      <c r="T70" t="n">
        <v>1.4</v>
      </c>
      <c r="U70" t="n">
        <v>15.6</v>
      </c>
      <c r="V70" t="n">
        <v>13.8</v>
      </c>
      <c r="W70" s="7" t="n">
        <v>1.85</v>
      </c>
      <c r="X70" t="inlineStr">
        <is>
          <t>Yellow</t>
        </is>
      </c>
    </row>
    <row r="71">
      <c r="A71" s="8" t="inlineStr">
        <is>
          <t>9 Henry St #9, Belmont, MA 02478</t>
        </is>
      </c>
      <c r="B71" t="inlineStr">
        <is>
          <t>Belmont</t>
        </is>
      </c>
      <c r="C71" s="6" t="inlineStr">
        <is>
          <t>https://www.redfin.com/MA/Belmont/9-Henry-St-02478/unit-9/home/77513972</t>
        </is>
      </c>
      <c r="D71" s="3" t="n">
        <v>575000</v>
      </c>
      <c r="E71" s="3" t="n">
        <v>200</v>
      </c>
      <c r="F71" t="n">
        <v>2</v>
      </c>
      <c r="G71" t="n">
        <v>1</v>
      </c>
      <c r="H71" s="4" t="n">
        <v>724</v>
      </c>
      <c r="I71" t="inlineStr">
        <is>
          <t>No</t>
        </is>
      </c>
      <c r="J71" t="inlineStr">
        <is>
          <t>2 spaces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1365</v>
      </c>
      <c r="S71" s="3">
        <f>Q71-R71</f>
        <v/>
      </c>
      <c r="T71" t="n">
        <v>7.3</v>
      </c>
      <c r="U71" t="n">
        <v>18.8</v>
      </c>
      <c r="V71" t="n">
        <v>16.4</v>
      </c>
      <c r="W71" s="7" t="n">
        <v>1.85</v>
      </c>
      <c r="X71" t="inlineStr">
        <is>
          <t>Yellow</t>
        </is>
      </c>
    </row>
    <row r="72">
      <c r="A72" s="8" t="inlineStr">
        <is>
          <t>99 Tremont St #105, Brighton, MA 02135</t>
        </is>
      </c>
      <c r="B72" t="inlineStr">
        <is>
          <t>Watertown</t>
        </is>
      </c>
      <c r="C72" s="6" t="inlineStr">
        <is>
          <t>https://www.redfin.com/MA/Brighton/99-Tremont-St-02135/unit-105/home/144873670</t>
        </is>
      </c>
      <c r="D72" s="3" t="n">
        <v>520000</v>
      </c>
      <c r="E72" s="3" t="n">
        <v>437</v>
      </c>
      <c r="F72" t="n">
        <v>0</v>
      </c>
      <c r="G72" t="n">
        <v>1</v>
      </c>
      <c r="H72" s="4" t="n">
        <v>616</v>
      </c>
      <c r="I72" t="inlineStr">
        <is>
          <t>No</t>
        </is>
      </c>
      <c r="J72" t="inlineStr">
        <is>
          <t>1 space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0</v>
      </c>
      <c r="S72" s="3">
        <f>Q72-R72</f>
        <v/>
      </c>
      <c r="T72" t="n">
        <v>6.1</v>
      </c>
      <c r="U72" t="n">
        <v>14.2</v>
      </c>
      <c r="V72" t="n">
        <v>14.7</v>
      </c>
      <c r="W72" s="7" t="n">
        <v>1.8</v>
      </c>
      <c r="X72" t="inlineStr">
        <is>
          <t>Yellow</t>
        </is>
      </c>
    </row>
    <row r="73">
      <c r="A73" s="8" t="inlineStr">
        <is>
          <t>191 Washington St #317, Boston, MA 02135</t>
        </is>
      </c>
      <c r="B73" t="inlineStr">
        <is>
          <t>Brighton</t>
        </is>
      </c>
      <c r="C73" s="6" t="inlineStr">
        <is>
          <t>https://www.redfin.com/MA/Boston/191-Washington-St-02135/unit-317/home/176134081</t>
        </is>
      </c>
      <c r="D73" s="3" t="n">
        <v>535000</v>
      </c>
      <c r="E73" s="3" t="n">
        <v>457</v>
      </c>
      <c r="F73" t="n">
        <v>1</v>
      </c>
      <c r="G73" t="n">
        <v>1</v>
      </c>
      <c r="H73" s="4" t="n">
        <v>498</v>
      </c>
      <c r="I73" t="inlineStr">
        <is>
          <t>No</t>
        </is>
      </c>
      <c r="J73" t="inlineStr">
        <is>
          <t>0 spaces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1.3</v>
      </c>
      <c r="U73" t="n">
        <v>13.8</v>
      </c>
      <c r="V73" t="n">
        <v>13.4</v>
      </c>
      <c r="W73" s="7" t="n">
        <v>1.8</v>
      </c>
      <c r="X73" t="inlineStr">
        <is>
          <t>Yellow</t>
        </is>
      </c>
    </row>
    <row r="74">
      <c r="A74" s="8" t="inlineStr">
        <is>
          <t>863 Massachusetts Ave #25, Cambridge, MA 02139</t>
        </is>
      </c>
      <c r="B74" t="inlineStr">
        <is>
          <t>Cambridge</t>
        </is>
      </c>
      <c r="C74" s="6" t="inlineStr">
        <is>
          <t>https://www.redfin.com/MA/Cambridge/863-Massachusetts-Ave-02139/unit-25/home/11566175</t>
        </is>
      </c>
      <c r="D74" s="3" t="n">
        <v>549000</v>
      </c>
      <c r="E74" s="3" t="n">
        <v>433</v>
      </c>
      <c r="F74" t="n">
        <v>1</v>
      </c>
      <c r="G74" t="n">
        <v>1</v>
      </c>
      <c r="H74" s="4" t="n">
        <v>450</v>
      </c>
      <c r="I74" t="inlineStr">
        <is>
          <t>No</t>
        </is>
      </c>
      <c r="J74" t="inlineStr">
        <is>
          <t>0 spaces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1</v>
      </c>
      <c r="U74" t="n">
        <v>12.1</v>
      </c>
      <c r="V74" t="n">
        <v>5.6</v>
      </c>
      <c r="W74" s="7" t="n">
        <v>1.8</v>
      </c>
      <c r="X74" t="inlineStr">
        <is>
          <t>Yellow</t>
        </is>
      </c>
    </row>
    <row r="75">
      <c r="A75" s="8" t="inlineStr">
        <is>
          <t>585 Washington St #202, Quincy, MA 02169</t>
        </is>
      </c>
      <c r="B75" t="inlineStr">
        <is>
          <t>Quincy</t>
        </is>
      </c>
      <c r="C75" s="6" t="inlineStr">
        <is>
          <t>https://www.redfin.com/MA/Quincy/585-Washington-St-02169/unit-202/home/200582027</t>
        </is>
      </c>
      <c r="D75" s="3" t="n">
        <v>600000</v>
      </c>
      <c r="E75" s="3" t="n">
        <v>250</v>
      </c>
      <c r="F75" t="n">
        <v>2</v>
      </c>
      <c r="G75" t="n">
        <v>2</v>
      </c>
      <c r="H75" s="4" t="n">
        <v>1203</v>
      </c>
      <c r="I75" t="inlineStr">
        <is>
          <t>No</t>
        </is>
      </c>
      <c r="J75" t="inlineStr">
        <is>
          <t>1 space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1170</v>
      </c>
      <c r="S75" s="3">
        <f>Q75-R75</f>
        <v/>
      </c>
      <c r="T75" t="n">
        <v>3.5</v>
      </c>
      <c r="U75" t="n">
        <v>19.7</v>
      </c>
      <c r="V75" t="n">
        <v>23.7</v>
      </c>
      <c r="W75" s="7" t="n">
        <v>1.75</v>
      </c>
      <c r="X75" t="inlineStr">
        <is>
          <t>Yellow</t>
        </is>
      </c>
    </row>
    <row r="76">
      <c r="A76" s="8" t="inlineStr">
        <is>
          <t>87 Franklin St #105, Quincy, MA 02169</t>
        </is>
      </c>
      <c r="B76" t="inlineStr">
        <is>
          <t>Quincy</t>
        </is>
      </c>
      <c r="C76" s="6" t="inlineStr">
        <is>
          <t>https://www.redfin.com/MA/Quincy/87-Franklin-St-02169/unit-105/home/9037092</t>
        </is>
      </c>
      <c r="D76" s="3" t="n">
        <v>544900</v>
      </c>
      <c r="E76" s="3" t="n">
        <v>322</v>
      </c>
      <c r="F76" t="n">
        <v>2</v>
      </c>
      <c r="G76" t="n">
        <v>2</v>
      </c>
      <c r="H76" s="4" t="n">
        <v>1218</v>
      </c>
      <c r="I76" t="inlineStr">
        <is>
          <t>No</t>
        </is>
      </c>
      <c r="J76" t="inlineStr">
        <is>
          <t>2 spaces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1170</v>
      </c>
      <c r="S76" s="3">
        <f>Q76-R76</f>
        <v/>
      </c>
      <c r="W76" s="7" t="n">
        <v>1.75</v>
      </c>
      <c r="X76" t="inlineStr">
        <is>
          <t>Yellow</t>
        </is>
      </c>
    </row>
    <row r="77">
      <c r="A77" s="8" t="inlineStr">
        <is>
          <t>21 Totman St #203, Quincy, MA 02169</t>
        </is>
      </c>
      <c r="B77" t="inlineStr">
        <is>
          <t>Quincy</t>
        </is>
      </c>
      <c r="C77" s="6" t="inlineStr">
        <is>
          <t>https://www.redfin.com/MA/Quincy/21-Totman-St-02169/unit-203/home/199494634</t>
        </is>
      </c>
      <c r="D77" s="3" t="n">
        <v>474900</v>
      </c>
      <c r="E77" s="3" t="n">
        <v>312</v>
      </c>
      <c r="F77" t="n">
        <v>1</v>
      </c>
      <c r="G77" t="n">
        <v>1</v>
      </c>
      <c r="H77" s="4" t="n">
        <v>679</v>
      </c>
      <c r="I77" t="inlineStr">
        <is>
          <t>No</t>
        </is>
      </c>
      <c r="J77" t="inlineStr">
        <is>
          <t>1 space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0</v>
      </c>
      <c r="S77" s="3">
        <f>Q77-R77</f>
        <v/>
      </c>
      <c r="T77" t="n">
        <v>2.3</v>
      </c>
      <c r="U77" t="n">
        <v>18.3</v>
      </c>
      <c r="V77" t="n">
        <v>22.4</v>
      </c>
      <c r="W77" s="7" t="n">
        <v>1.75</v>
      </c>
      <c r="X77" t="inlineStr">
        <is>
          <t>Yellow</t>
        </is>
      </c>
    </row>
    <row r="78">
      <c r="A78" s="8" t="inlineStr">
        <is>
          <t>15 Colliston Rd #6, Brighton, MA 02135</t>
        </is>
      </c>
      <c r="B78" t="inlineStr">
        <is>
          <t>Brighton</t>
        </is>
      </c>
      <c r="C78" s="6" t="inlineStr">
        <is>
          <t>https://www.redfin.com/MA/Brighton/15-Colliston-Rd-02135/unit-6/home/9004520</t>
        </is>
      </c>
      <c r="D78" s="3" t="n">
        <v>450000</v>
      </c>
      <c r="E78" s="3" t="n">
        <v>425</v>
      </c>
      <c r="F78" t="n">
        <v>1</v>
      </c>
      <c r="G78" t="n">
        <v>1</v>
      </c>
      <c r="H78" s="4" t="n">
        <v>577</v>
      </c>
      <c r="I78" t="inlineStr">
        <is>
          <t>No</t>
        </is>
      </c>
      <c r="J78" t="inlineStr">
        <is>
          <t>0 spaces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1.2</v>
      </c>
      <c r="U78" t="n">
        <v>15.2</v>
      </c>
      <c r="V78" t="n">
        <v>14.1</v>
      </c>
      <c r="W78" s="7" t="n">
        <v>1.75</v>
      </c>
      <c r="X78" t="inlineStr">
        <is>
          <t>Yellow</t>
        </is>
      </c>
    </row>
    <row r="79">
      <c r="A79" s="8" t="inlineStr">
        <is>
          <t>11 Cogswell Ave #15, Cambridge, MA 02140</t>
        </is>
      </c>
      <c r="B79" t="inlineStr">
        <is>
          <t>Cambridge</t>
        </is>
      </c>
      <c r="C79" s="6" t="inlineStr">
        <is>
          <t>https://www.redfin.com/MA/Cambridge/11-Cogswell-Ave-02140/unit-15/home/11583274</t>
        </is>
      </c>
      <c r="D79" s="3" t="n">
        <v>550000</v>
      </c>
      <c r="E79" s="3" t="n">
        <v>388</v>
      </c>
      <c r="F79" t="n">
        <v>1</v>
      </c>
      <c r="G79" t="n">
        <v>1</v>
      </c>
      <c r="H79" s="4" t="n">
        <v>575</v>
      </c>
      <c r="I79" t="inlineStr">
        <is>
          <t>No</t>
        </is>
      </c>
      <c r="J79" t="inlineStr">
        <is>
          <t>1 space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1.5</v>
      </c>
      <c r="U79" t="n">
        <v>15.1</v>
      </c>
      <c r="V79" t="n">
        <v>11.1</v>
      </c>
      <c r="W79" s="7" t="n">
        <v>1.75</v>
      </c>
      <c r="X79" t="inlineStr">
        <is>
          <t>Yellow</t>
        </is>
      </c>
    </row>
    <row r="80">
      <c r="A80" s="8" t="inlineStr">
        <is>
          <t>87 Village Dr #87, Quincy, MA 02169</t>
        </is>
      </c>
      <c r="B80" t="inlineStr">
        <is>
          <t>Quincy</t>
        </is>
      </c>
      <c r="C80" s="6" t="inlineStr">
        <is>
          <t>https://www.redfin.com/MA/Quincy/87-Village-Dr-02169/unit-87/home/200729265</t>
        </is>
      </c>
      <c r="D80" s="3" t="n">
        <v>539900</v>
      </c>
      <c r="E80" s="3" t="n">
        <v>473</v>
      </c>
      <c r="F80" t="n">
        <v>2</v>
      </c>
      <c r="G80" t="n">
        <v>2</v>
      </c>
      <c r="H80" s="4" t="n">
        <v>1117</v>
      </c>
      <c r="I80" t="inlineStr">
        <is>
          <t>No</t>
        </is>
      </c>
      <c r="J80" t="inlineStr">
        <is>
          <t>1 space</t>
        </is>
      </c>
      <c r="K80" s="3">
        <f>Assumptions!B3</f>
        <v/>
      </c>
      <c r="L80" s="3">
        <f>D80-K80</f>
        <v/>
      </c>
      <c r="M80" s="3">
        <f>-PMT(Assumptions!B2/12,Assumptions!B4*12,L80)</f>
        <v/>
      </c>
      <c r="N80" s="3">
        <f>D80*Assumptions!B5/12</f>
        <v/>
      </c>
      <c r="O80" s="3">
        <f>Assumptions!B6</f>
        <v/>
      </c>
      <c r="P80" s="3">
        <f>Assumptions!B7+Assumptions!B8</f>
        <v/>
      </c>
      <c r="Q80" s="3">
        <f>M80+E80+N80+O80+P80</f>
        <v/>
      </c>
      <c r="R80" s="3" t="n">
        <v>1170</v>
      </c>
      <c r="S80" s="3">
        <f>Q80-R80</f>
        <v/>
      </c>
      <c r="T80" t="n">
        <v>3.7</v>
      </c>
      <c r="U80" t="n">
        <v>19.9</v>
      </c>
      <c r="V80" t="n">
        <v>23.9</v>
      </c>
      <c r="W80" s="7" t="n">
        <v>1.75</v>
      </c>
      <c r="X80" t="inlineStr">
        <is>
          <t>Yellow</t>
        </is>
      </c>
    </row>
    <row r="81">
      <c r="A81" s="8" t="inlineStr">
        <is>
          <t>2 Avon St #6, Cambridge, MA 02138</t>
        </is>
      </c>
      <c r="B81" t="inlineStr">
        <is>
          <t>Cambridge</t>
        </is>
      </c>
      <c r="C81" s="6" t="inlineStr">
        <is>
          <t>https://www.redfin.com/MA/Cambridge/2-Avon-St-02138/unit-6/home/196668755</t>
        </is>
      </c>
      <c r="D81" s="3" t="n">
        <v>595738</v>
      </c>
      <c r="E81" s="3" t="n">
        <v>384</v>
      </c>
      <c r="F81" t="n">
        <v>1</v>
      </c>
      <c r="G81" t="n">
        <v>1</v>
      </c>
      <c r="H81" s="4" t="n">
        <v>520</v>
      </c>
      <c r="I81" t="inlineStr">
        <is>
          <t>No</t>
        </is>
      </c>
      <c r="J81" t="inlineStr">
        <is>
          <t>0 spaces</t>
        </is>
      </c>
      <c r="K81" s="3">
        <f>Assumptions!B3</f>
        <v/>
      </c>
      <c r="L81" s="3">
        <f>D81-K81</f>
        <v/>
      </c>
      <c r="M81" s="3">
        <f>-PMT(Assumptions!B2/12,Assumptions!B4*12,L81)</f>
        <v/>
      </c>
      <c r="N81" s="3">
        <f>D81*Assumptions!B5/12</f>
        <v/>
      </c>
      <c r="O81" s="3">
        <f>Assumptions!B6</f>
        <v/>
      </c>
      <c r="P81" s="3">
        <f>Assumptions!B7+Assumptions!B8</f>
        <v/>
      </c>
      <c r="Q81" s="3">
        <f>M81+E81+N81+O81+P81</f>
        <v/>
      </c>
      <c r="R81" s="3" t="n">
        <v>0</v>
      </c>
      <c r="S81" s="3">
        <f>Q81-R81</f>
        <v/>
      </c>
      <c r="T81" t="n">
        <v>3.4</v>
      </c>
      <c r="U81" t="n">
        <v>15.1</v>
      </c>
      <c r="V81" t="n">
        <v>10.2</v>
      </c>
      <c r="W81" s="7" t="n">
        <v>1.75</v>
      </c>
      <c r="X81" t="inlineStr">
        <is>
          <t>Yellow</t>
        </is>
      </c>
    </row>
    <row r="82">
      <c r="A82" s="9" t="inlineStr">
        <is>
          <t>21 Totman St #404, Quincy, MA 02169</t>
        </is>
      </c>
      <c r="B82" t="inlineStr">
        <is>
          <t>Quincy</t>
        </is>
      </c>
      <c r="C82" s="6" t="inlineStr">
        <is>
          <t>https://www.redfin.com/MA/Quincy/21-Totman-St-02169/unit-404/home/199967272</t>
        </is>
      </c>
      <c r="D82" s="3" t="n">
        <v>500000</v>
      </c>
      <c r="E82" s="3" t="n">
        <v>327</v>
      </c>
      <c r="F82" t="n">
        <v>1</v>
      </c>
      <c r="G82" t="n">
        <v>1</v>
      </c>
      <c r="H82" s="4" t="n">
        <v>679</v>
      </c>
      <c r="I82" t="inlineStr">
        <is>
          <t>No</t>
        </is>
      </c>
      <c r="J82" t="inlineStr">
        <is>
          <t>1 space</t>
        </is>
      </c>
      <c r="K82" s="3">
        <f>Assumptions!B3</f>
        <v/>
      </c>
      <c r="L82" s="3">
        <f>D82-K82</f>
        <v/>
      </c>
      <c r="M82" s="3">
        <f>-PMT(Assumptions!B2/12,Assumptions!B4*12,L82)</f>
        <v/>
      </c>
      <c r="N82" s="3">
        <f>D82*Assumptions!B5/12</f>
        <v/>
      </c>
      <c r="O82" s="3">
        <f>Assumptions!B6</f>
        <v/>
      </c>
      <c r="P82" s="3">
        <f>Assumptions!B7+Assumptions!B8</f>
        <v/>
      </c>
      <c r="Q82" s="3">
        <f>M82+E82+N82+O82+P82</f>
        <v/>
      </c>
      <c r="R82" s="3" t="n">
        <v>0</v>
      </c>
      <c r="S82" s="3">
        <f>Q82-R82</f>
        <v/>
      </c>
      <c r="T82" t="n">
        <v>2.3</v>
      </c>
      <c r="U82" t="n">
        <v>18.3</v>
      </c>
      <c r="V82" t="n">
        <v>22.4</v>
      </c>
      <c r="W82" s="7" t="n">
        <v>1.65</v>
      </c>
      <c r="X82" t="inlineStr">
        <is>
          <t>Red</t>
        </is>
      </c>
    </row>
    <row r="83">
      <c r="A83" s="9" t="inlineStr">
        <is>
          <t>28 Westgate Rd #3, Chestnut Hill, MA 02467</t>
        </is>
      </c>
      <c r="B83" t="inlineStr">
        <is>
          <t>Newton</t>
        </is>
      </c>
      <c r="C83" s="6" t="inlineStr">
        <is>
          <t>https://www.redfin.com/MA/Chestnut-Hill/28-Westgate-Rd-02467/unit-3/home/9204984</t>
        </is>
      </c>
      <c r="D83" s="3" t="n">
        <v>399900</v>
      </c>
      <c r="E83" s="3" t="n">
        <v>424</v>
      </c>
      <c r="F83" t="n">
        <v>1</v>
      </c>
      <c r="G83" t="n">
        <v>1</v>
      </c>
      <c r="H83" s="4" t="n">
        <v>575</v>
      </c>
      <c r="I83" t="inlineStr">
        <is>
          <t>No</t>
        </is>
      </c>
      <c r="J83" t="inlineStr">
        <is>
          <t>1 space</t>
        </is>
      </c>
      <c r="K83" s="3">
        <f>Assumptions!B3</f>
        <v/>
      </c>
      <c r="L83" s="3">
        <f>D83-K83</f>
        <v/>
      </c>
      <c r="M83" s="3">
        <f>-PMT(Assumptions!B2/12,Assumptions!B4*12,L83)</f>
        <v/>
      </c>
      <c r="N83" s="3">
        <f>D83*Assumptions!B5/12</f>
        <v/>
      </c>
      <c r="O83" s="3">
        <f>Assumptions!B6</f>
        <v/>
      </c>
      <c r="P83" s="3">
        <f>Assumptions!B7+Assumptions!B8</f>
        <v/>
      </c>
      <c r="Q83" s="3">
        <f>M83+E83+N83+O83+P83</f>
        <v/>
      </c>
      <c r="R83" s="3" t="n">
        <v>0</v>
      </c>
      <c r="S83" s="3">
        <f>Q83-R83</f>
        <v/>
      </c>
      <c r="T83" t="n">
        <v>6.5</v>
      </c>
      <c r="U83" t="n">
        <v>23.5</v>
      </c>
      <c r="V83" t="n">
        <v>22</v>
      </c>
      <c r="W83" s="7" t="n">
        <v>1.65</v>
      </c>
      <c r="X83" t="inlineStr">
        <is>
          <t>Red</t>
        </is>
      </c>
    </row>
    <row r="84">
      <c r="A84" s="9" t="inlineStr">
        <is>
          <t>1001 Marina Dr #213, Quincy, MA 02171</t>
        </is>
      </c>
      <c r="B84" t="inlineStr">
        <is>
          <t>Quincy</t>
        </is>
      </c>
      <c r="C84" s="6" t="inlineStr">
        <is>
          <t>https://www.redfin.com/MA/Quincy/1001-Marina-Dr-02171/unit-213/home/9026436</t>
        </is>
      </c>
      <c r="D84" s="3" t="n">
        <v>499900</v>
      </c>
      <c r="E84" s="3" t="n">
        <v>450</v>
      </c>
      <c r="F84" t="n">
        <v>1</v>
      </c>
      <c r="G84" t="n">
        <v>1</v>
      </c>
      <c r="H84" s="4" t="n">
        <v>820</v>
      </c>
      <c r="I84" t="inlineStr">
        <is>
          <t>No</t>
        </is>
      </c>
      <c r="J84" t="inlineStr">
        <is>
          <t>2 spaces</t>
        </is>
      </c>
      <c r="K84" s="3">
        <f>Assumptions!B3</f>
        <v/>
      </c>
      <c r="L84" s="3">
        <f>D84-K84</f>
        <v/>
      </c>
      <c r="M84" s="3">
        <f>-PMT(Assumptions!B2/12,Assumptions!B4*12,L84)</f>
        <v/>
      </c>
      <c r="N84" s="3">
        <f>D84*Assumptions!B5/12</f>
        <v/>
      </c>
      <c r="O84" s="3">
        <f>Assumptions!B6</f>
        <v/>
      </c>
      <c r="P84" s="3">
        <f>Assumptions!B7+Assumptions!B8</f>
        <v/>
      </c>
      <c r="Q84" s="3">
        <f>M84+E84+N84+O84+P84</f>
        <v/>
      </c>
      <c r="R84" s="3" t="n">
        <v>0</v>
      </c>
      <c r="S84" s="3">
        <f>Q84-R84</f>
        <v/>
      </c>
      <c r="T84" t="n">
        <v>7.4</v>
      </c>
      <c r="U84" t="n">
        <v>15.6</v>
      </c>
      <c r="V84" t="n">
        <v>19.7</v>
      </c>
      <c r="W84" s="7" t="n">
        <v>1.6</v>
      </c>
      <c r="X84" t="inlineStr">
        <is>
          <t>Red</t>
        </is>
      </c>
    </row>
    <row r="85">
      <c r="A85" s="9" t="inlineStr">
        <is>
          <t>290 Pleasant St #113, Watertown, MA 02471</t>
        </is>
      </c>
      <c r="B85" t="inlineStr">
        <is>
          <t>Watertown</t>
        </is>
      </c>
      <c r="C85" s="6" t="inlineStr">
        <is>
          <t>https://www.redfin.com/MA/Watertown/290-Pleasant-St-02472/unit-113/home/12404099</t>
        </is>
      </c>
      <c r="D85" s="3" t="n">
        <v>539900</v>
      </c>
      <c r="E85" s="3" t="n">
        <v>485</v>
      </c>
      <c r="F85" t="n">
        <v>1</v>
      </c>
      <c r="G85" t="n">
        <v>1</v>
      </c>
      <c r="H85" s="4" t="n">
        <v>941</v>
      </c>
      <c r="I85" t="inlineStr">
        <is>
          <t>No</t>
        </is>
      </c>
      <c r="J85" t="inlineStr">
        <is>
          <t>2 spaces</t>
        </is>
      </c>
      <c r="K85" s="3">
        <f>Assumptions!B3</f>
        <v/>
      </c>
      <c r="L85" s="3">
        <f>D85-K85</f>
        <v/>
      </c>
      <c r="M85" s="3">
        <f>-PMT(Assumptions!B2/12,Assumptions!B4*12,L85)</f>
        <v/>
      </c>
      <c r="N85" s="3">
        <f>D85*Assumptions!B5/12</f>
        <v/>
      </c>
      <c r="O85" s="3">
        <f>Assumptions!B6</f>
        <v/>
      </c>
      <c r="P85" s="3">
        <f>Assumptions!B7+Assumptions!B8</f>
        <v/>
      </c>
      <c r="Q85" s="3">
        <f>M85+E85+N85+O85+P85</f>
        <v/>
      </c>
      <c r="R85" s="3" t="n">
        <v>0</v>
      </c>
      <c r="S85" s="3">
        <f>Q85-R85</f>
        <v/>
      </c>
      <c r="T85" t="n">
        <v>10.2</v>
      </c>
      <c r="U85" t="n">
        <v>17.2</v>
      </c>
      <c r="V85" t="n">
        <v>17.8</v>
      </c>
      <c r="W85" s="7" t="n">
        <v>1.55</v>
      </c>
      <c r="X85" t="inlineStr">
        <is>
          <t>Red</t>
        </is>
      </c>
    </row>
    <row r="86">
      <c r="A86" s="9" t="inlineStr">
        <is>
          <t>995 Massachusetts Ave #404, Arlington, MA 02476</t>
        </is>
      </c>
      <c r="B86" t="inlineStr">
        <is>
          <t>Arlington</t>
        </is>
      </c>
      <c r="C86" s="6" t="inlineStr">
        <is>
          <t>https://www.redfin.com/MA/Arlington/995-Massachusetts-Ave-02476/unit-404/home/8418935</t>
        </is>
      </c>
      <c r="D86" s="3" t="n">
        <v>498000</v>
      </c>
      <c r="E86" s="3" t="n">
        <v>426</v>
      </c>
      <c r="F86" t="n">
        <v>1</v>
      </c>
      <c r="G86" t="n">
        <v>1</v>
      </c>
      <c r="H86" s="4" t="n">
        <v>663</v>
      </c>
      <c r="I86" t="inlineStr">
        <is>
          <t>No</t>
        </is>
      </c>
      <c r="J86" t="inlineStr">
        <is>
          <t>1 space</t>
        </is>
      </c>
      <c r="K86" s="3">
        <f>Assumptions!B3</f>
        <v/>
      </c>
      <c r="L86" s="3">
        <f>D86-K86</f>
        <v/>
      </c>
      <c r="M86" s="3">
        <f>-PMT(Assumptions!B2/12,Assumptions!B4*12,L86)</f>
        <v/>
      </c>
      <c r="N86" s="3">
        <f>D86*Assumptions!B5/12</f>
        <v/>
      </c>
      <c r="O86" s="3">
        <f>Assumptions!B6</f>
        <v/>
      </c>
      <c r="P86" s="3">
        <f>Assumptions!B7+Assumptions!B8</f>
        <v/>
      </c>
      <c r="Q86" s="3">
        <f>M86+E86+N86+O86+P86</f>
        <v/>
      </c>
      <c r="R86" s="3" t="n">
        <v>0</v>
      </c>
      <c r="S86" s="3">
        <f>Q86-R86</f>
        <v/>
      </c>
      <c r="T86" t="n">
        <v>6.7</v>
      </c>
      <c r="U86" t="n">
        <v>18.4</v>
      </c>
      <c r="V86" t="n">
        <v>17</v>
      </c>
      <c r="W86" s="7" t="n">
        <v>1.55</v>
      </c>
      <c r="X86" t="inlineStr">
        <is>
          <t>Red</t>
        </is>
      </c>
    </row>
  </sheetData>
  <conditionalFormatting sqref="X2:X86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2026-03-05T00:58:34Z</dcterms:created>
  <dcterms:modified xmlns:dcterms="http://purl.org/dc/terms/" xmlns:xsi="http://www.w3.org/2001/XMLSchema-instance" xsi:type="dcterms:W3CDTF">2026-03-05T00:58:34Z</dcterms:modified>
</cp:coreProperties>
</file>