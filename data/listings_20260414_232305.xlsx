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165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Allston/5-Spofford-Rd-02134/unit-17/home/8995633" TargetMode="External" Id="rId1"/><Relationship Type="http://schemas.openxmlformats.org/officeDocument/2006/relationships/hyperlink" Target="https://www.redfin.com/MA/Malden/40-Upham-St-02148/unit-1/home/187160997" TargetMode="External" Id="rId2"/><Relationship Type="http://schemas.openxmlformats.org/officeDocument/2006/relationships/hyperlink" Target="https://www.redfin.com/MA/Malden/159-Madison-St-02148/home/11391337" TargetMode="External" Id="rId3"/><Relationship Type="http://schemas.openxmlformats.org/officeDocument/2006/relationships/hyperlink" Target="https://www.redfin.com/MA/Malden/111-Devir-St-02148/unit-204/home/11388868" TargetMode="External" Id="rId4"/><Relationship Type="http://schemas.openxmlformats.org/officeDocument/2006/relationships/hyperlink" Target="https://www.redfin.com/MA/Quincy/212-Quincy-Shore-Dr-02171/home/9009303" TargetMode="External" Id="rId5"/><Relationship Type="http://schemas.openxmlformats.org/officeDocument/2006/relationships/hyperlink" Target="https://www.redfin.com/MA/Brighton/198-Allston-St-02135/unit-3/home/9013031" TargetMode="External" Id="rId6"/><Relationship Type="http://schemas.openxmlformats.org/officeDocument/2006/relationships/hyperlink" Target="https://www.redfin.com/MA/Medford/0-Gordon-Rd-02155/home/187063221" TargetMode="External" Id="rId7"/><Relationship Type="http://schemas.openxmlformats.org/officeDocument/2006/relationships/hyperlink" Target="https://www.redfin.com/MA/Quincy/27-6th-Ave-02169/home/8946597" TargetMode="External" Id="rId8"/><Relationship Type="http://schemas.openxmlformats.org/officeDocument/2006/relationships/hyperlink" Target="https://www.redfin.com/MA/Malden/1-Glenwood-St-02148/unit-5/home/11429024" TargetMode="External" Id="rId9"/><Relationship Type="http://schemas.openxmlformats.org/officeDocument/2006/relationships/hyperlink" Target="https://www.redfin.com/MA/Malden/217-Highland-Ave-02148/unit-2/home/137151214" TargetMode="External" Id="rId10"/><Relationship Type="http://schemas.openxmlformats.org/officeDocument/2006/relationships/hyperlink" Target="https://www.redfin.com/MA/Quincy/18-Allerton-St-02169/home/110011603" TargetMode="External" Id="rId11"/><Relationship Type="http://schemas.openxmlformats.org/officeDocument/2006/relationships/hyperlink" Target="https://www.redfin.com/MA/Allston/10-Scottfield-Rd-02134/unit-2/home/9000250" TargetMode="External" Id="rId12"/><Relationship Type="http://schemas.openxmlformats.org/officeDocument/2006/relationships/hyperlink" Target="https://www.redfin.com/MA/Cambridge/199-Prospect-St-02139/unit-A1/home/110093910" TargetMode="External" Id="rId13"/><Relationship Type="http://schemas.openxmlformats.org/officeDocument/2006/relationships/hyperlink" Target="https://www.redfin.com/MA/Allston/239-Kelton-St-02134/unit-11/home/9000947" TargetMode="External" Id="rId14"/><Relationship Type="http://schemas.openxmlformats.org/officeDocument/2006/relationships/hyperlink" Target="https://www.redfin.com/MA/Somerville/84-Grant-St-02145/unit-7/home/11650236" TargetMode="External" Id="rId15"/><Relationship Type="http://schemas.openxmlformats.org/officeDocument/2006/relationships/hyperlink" Target="https://www.redfin.com/MA/Watertown/186-Lexington-St-02472/unit-8/home/11690422" TargetMode="External" Id="rId16"/><Relationship Type="http://schemas.openxmlformats.org/officeDocument/2006/relationships/hyperlink" Target="https://www.redfin.com/MA/Watertown/194-Lexington-St-02472/unit-1/home/11690433" TargetMode="External" Id="rId17"/><Relationship Type="http://schemas.openxmlformats.org/officeDocument/2006/relationships/hyperlink" Target="https://www.redfin.com/MA/Watertown/133-Warren-St-02472/unit-3/home/11690534" TargetMode="External" Id="rId18"/><Relationship Type="http://schemas.openxmlformats.org/officeDocument/2006/relationships/hyperlink" Target="https://www.redfin.com/MA/Medford/12-Gaston-St-02155/home/11778344" TargetMode="External" Id="rId19"/><Relationship Type="http://schemas.openxmlformats.org/officeDocument/2006/relationships/hyperlink" Target="https://www.redfin.com/MA/Watertown/77-Forest-St-02472/home/195635313" TargetMode="External" Id="rId20"/><Relationship Type="http://schemas.openxmlformats.org/officeDocument/2006/relationships/hyperlink" Target="https://www.redfin.com/MA/Boston/69-Strathmore-Rd-02135/unit-69A/home/200893159" TargetMode="External" Id="rId21"/><Relationship Type="http://schemas.openxmlformats.org/officeDocument/2006/relationships/hyperlink" Target="https://www.redfin.com/MA/Brighton/185-Chestnut-Hill-Ave-02135/unit-3/home/9036757" TargetMode="External" Id="rId22"/><Relationship Type="http://schemas.openxmlformats.org/officeDocument/2006/relationships/hyperlink" Target="https://www.redfin.com/MA/Malden/82-Medford-St-02148/unit-2/home/11431345" TargetMode="External" Id="rId23"/><Relationship Type="http://schemas.openxmlformats.org/officeDocument/2006/relationships/hyperlink" Target="https://www.redfin.com/MA/Allston/45-Gordon-St-02134/unit-4/home/8999903" TargetMode="External" Id="rId24"/><Relationship Type="http://schemas.openxmlformats.org/officeDocument/2006/relationships/hyperlink" Target="https://www.redfin.com/MA/Brighton/12-14-Shannon-St-02135/unit-3/home/11838033" TargetMode="External" Id="rId25"/><Relationship Type="http://schemas.openxmlformats.org/officeDocument/2006/relationships/hyperlink" Target="https://www.redfin.com/MA/Somerville/102-Grant-St-02145/unit-B/home/196668060" TargetMode="External" Id="rId26"/><Relationship Type="http://schemas.openxmlformats.org/officeDocument/2006/relationships/hyperlink" Target="https://www.redfin.com/MA/Quincy/195-Thomas-Burgin-Pkwy-02169/unit-301/home/8931809" TargetMode="External" Id="rId27"/><Relationship Type="http://schemas.openxmlformats.org/officeDocument/2006/relationships/hyperlink" Target="https://www.redfin.com/MA/Waltham/10-Naviens-Ln-02453/unit-1/home/76478882" TargetMode="External" Id="rId28"/><Relationship Type="http://schemas.openxmlformats.org/officeDocument/2006/relationships/hyperlink" Target="https://www.redfin.com/MA/Chestnut-Hill/66-Bryon-Rd-02467/unit-2/home/9204203" TargetMode="External" Id="rId29"/><Relationship Type="http://schemas.openxmlformats.org/officeDocument/2006/relationships/hyperlink" Target="https://www.redfin.com/MA/Brighton/5-Braemore-Rd-02135/unit-10/home/9308549" TargetMode="External" Id="rId30"/><Relationship Type="http://schemas.openxmlformats.org/officeDocument/2006/relationships/hyperlink" Target="https://www.redfin.com/MA/Chestnut-Hill/64-Bryon-Rd-02467/unit-1/home/9204182" TargetMode="External" Id="rId31"/><Relationship Type="http://schemas.openxmlformats.org/officeDocument/2006/relationships/hyperlink" Target="https://www.redfin.com/MA/Brighton/1641-Commonwealth-Ave-02135/unit-16/home/9002891" TargetMode="External" Id="rId32"/><Relationship Type="http://schemas.openxmlformats.org/officeDocument/2006/relationships/hyperlink" Target="https://www.redfin.com/MA/Brighton/1568-Commonwealth-Ave-02135/unit-12/home/9017105" TargetMode="External" Id="rId33"/><Relationship Type="http://schemas.openxmlformats.org/officeDocument/2006/relationships/hyperlink" Target="https://www.redfin.com/MA/Allston/10-Scottfield-Rd-02134/unit-34/home/9000321" TargetMode="External" Id="rId34"/><Relationship Type="http://schemas.openxmlformats.org/officeDocument/2006/relationships/hyperlink" Target="https://www.redfin.com/MA/Allston/239-Kelton-St-02134/unit-41/home/9001010" TargetMode="External" Id="rId35"/><Relationship Type="http://schemas.openxmlformats.org/officeDocument/2006/relationships/hyperlink" Target="https://www.redfin.com/MA/Newton/34-Channing-St-02458/unit-2/home/196688205" TargetMode="External" Id="rId36"/><Relationship Type="http://schemas.openxmlformats.org/officeDocument/2006/relationships/hyperlink" Target="https://www.redfin.com/MA/Allston/57-Brighton-Ave-02134/unit-6/home/8991939" TargetMode="External" Id="rId37"/><Relationship Type="http://schemas.openxmlformats.org/officeDocument/2006/relationships/hyperlink" Target="https://www.redfin.com/MA/Medford/297-Main-St-02155/unit-3/home/11796231" TargetMode="External" Id="rId38"/><Relationship Type="http://schemas.openxmlformats.org/officeDocument/2006/relationships/hyperlink" Target="https://www.redfin.com/MA/Brighton/Undisclosed-address-02135/home/9013888" TargetMode="External" Id="rId39"/><Relationship Type="http://schemas.openxmlformats.org/officeDocument/2006/relationships/hyperlink" Target="https://www.redfin.com/MA/Brighton/32-Sidlaw-Rd-02135/unit-6/home/9006968" TargetMode="External" Id="rId40"/><Relationship Type="http://schemas.openxmlformats.org/officeDocument/2006/relationships/hyperlink" Target="https://www.redfin.com/MA/Quincy/115-W-Squantum-St-02171/unit-203/home/11722276" TargetMode="External" Id="rId41"/><Relationship Type="http://schemas.openxmlformats.org/officeDocument/2006/relationships/hyperlink" Target="https://www.redfin.com/MA/Allston/17-Radcliffe-Rd-02134/unit-10/home/11833006" TargetMode="External" Id="rId42"/><Relationship Type="http://schemas.openxmlformats.org/officeDocument/2006/relationships/hyperlink" Target="https://www.redfin.com/MA/Cambridge/95-Second-St-02141/unit-3/home/22200369" TargetMode="External" Id="rId43"/><Relationship Type="http://schemas.openxmlformats.org/officeDocument/2006/relationships/hyperlink" Target="https://www.redfin.com/MA/Malden/32-Newman-Rd-02148/unit-1/home/11391853" TargetMode="External" Id="rId44"/><Relationship Type="http://schemas.openxmlformats.org/officeDocument/2006/relationships/hyperlink" Target="https://www.redfin.com/MA/Malden/80-Main-St-02148/unit-9/home/11391543" TargetMode="External" Id="rId45"/><Relationship Type="http://schemas.openxmlformats.org/officeDocument/2006/relationships/hyperlink" Target="https://www.redfin.com/MA/Malden/80-Main-St-02148/unit-4/home/11391525" TargetMode="External" Id="rId46"/><Relationship Type="http://schemas.openxmlformats.org/officeDocument/2006/relationships/hyperlink" Target="https://www.redfin.com/MA/Brighton/1691-Commonwealth-Ave-02135/unit-31/home/9020583" TargetMode="External" Id="rId47"/><Relationship Type="http://schemas.openxmlformats.org/officeDocument/2006/relationships/hyperlink" Target="https://www.redfin.com/MA/Boston/191-Washington-St-02135/home/184088757" TargetMode="External" Id="rId48"/><Relationship Type="http://schemas.openxmlformats.org/officeDocument/2006/relationships/hyperlink" Target="https://www.redfin.com/MA/Somerville/17-Buckingham-St-02143/unit-3/home/200344678" TargetMode="External" Id="rId49"/><Relationship Type="http://schemas.openxmlformats.org/officeDocument/2006/relationships/hyperlink" Target="https://www.redfin.com/MA/Somerville/367-Somerville-Ave-02143/unit-G/home/8751476" TargetMode="External" Id="rId50"/><Relationship Type="http://schemas.openxmlformats.org/officeDocument/2006/relationships/hyperlink" Target="https://www.redfin.com/MA/Somerville/5-Waldo-Ave-02143/unit-2A/home/8759932" TargetMode="External" Id="rId51"/><Relationship Type="http://schemas.openxmlformats.org/officeDocument/2006/relationships/hyperlink" Target="https://www.redfin.com/MA/Allston/1263-Commonwealth-Ave-02134/unit-4/home/8995479" TargetMode="External" Id="rId52"/><Relationship Type="http://schemas.openxmlformats.org/officeDocument/2006/relationships/hyperlink" Target="https://www.redfin.com/MA/Brighton/1666-Commonwealth-Ave-02135/unit-66-24/home/200890931" TargetMode="External" Id="rId53"/><Relationship Type="http://schemas.openxmlformats.org/officeDocument/2006/relationships/hyperlink" Target="https://www.redfin.com/MA/Allston/18-Glenville-Ave-02134/unit-3A/home/8995847" TargetMode="External" Id="rId54"/><Relationship Type="http://schemas.openxmlformats.org/officeDocument/2006/relationships/hyperlink" Target="https://www.redfin.com/MA/Brookline/44-Washington-St-02445/unit-508/home/11485671" TargetMode="External" Id="rId55"/><Relationship Type="http://schemas.openxmlformats.org/officeDocument/2006/relationships/hyperlink" Target="https://www.redfin.com/MA/Brighton/1496-Commonwealth-Ave-02135/unit-9E/home/201193887" TargetMode="External" Id="rId56"/><Relationship Type="http://schemas.openxmlformats.org/officeDocument/2006/relationships/hyperlink" Target="https://www.redfin.com/MA/Somerville/474-Broadway-02145/unit-25/home/8709234" TargetMode="External" Id="rId57"/><Relationship Type="http://schemas.openxmlformats.org/officeDocument/2006/relationships/hyperlink" Target="https://www.redfin.com/MA/Quincy/115-W-Squantum-St-02171/unit-607/home/9025296" TargetMode="External" Id="rId58"/><Relationship Type="http://schemas.openxmlformats.org/officeDocument/2006/relationships/hyperlink" Target="https://www.redfin.com/MA/Waltham/28-Hibiscus-Ave-02451/home/11802693" TargetMode="External" Id="rId59"/><Relationship Type="http://schemas.openxmlformats.org/officeDocument/2006/relationships/hyperlink" Target="https://www.redfin.com/MA/Boston/36-Bellvista-Rd-02135/unit-36/home/201241136" TargetMode="External" Id="rId60"/><Relationship Type="http://schemas.openxmlformats.org/officeDocument/2006/relationships/hyperlink" Target="https://www.redfin.com/MA/Allston/533-Cambridge-St-02134/unit-308/home/12469714" TargetMode="External" Id="rId61"/><Relationship Type="http://schemas.openxmlformats.org/officeDocument/2006/relationships/hyperlink" Target="https://www.redfin.com/MA/Somerville/9-Clyde-St-02145/unit-9/home/187141476" TargetMode="External" Id="rId62"/><Relationship Type="http://schemas.openxmlformats.org/officeDocument/2006/relationships/hyperlink" Target="https://www.redfin.com/MA/Quincy/150-Madison-Ave-02169/home/8954563" TargetMode="External" Id="rId63"/><Relationship Type="http://schemas.openxmlformats.org/officeDocument/2006/relationships/hyperlink" Target="https://www.redfin.com/MA/Brighton/140-Kenrick-St-02135/unit-8/home/9043024" TargetMode="External" Id="rId64"/><Relationship Type="http://schemas.openxmlformats.org/officeDocument/2006/relationships/hyperlink" Target="https://www.redfin.com/MA/Quincy/Quincy/1-Bedroom/home/197950895" TargetMode="External" Id="rId65"/><Relationship Type="http://schemas.openxmlformats.org/officeDocument/2006/relationships/hyperlink" Target="https://www.redfin.com/MA/Quincy/Quincy/2-Bedrooms/home/197950891" TargetMode="External" Id="rId66"/><Relationship Type="http://schemas.openxmlformats.org/officeDocument/2006/relationships/hyperlink" Target="https://www.redfin.com/MA/Waltham/31-Warren-St-02453/unit-B1/home/11815449" TargetMode="External" Id="rId67"/><Relationship Type="http://schemas.openxmlformats.org/officeDocument/2006/relationships/hyperlink" Target="https://www.redfin.com/MA/Chestnut-Hill/42-Bryon-Rd-02467/unit-6/home/9204495" TargetMode="External" Id="rId68"/><Relationship Type="http://schemas.openxmlformats.org/officeDocument/2006/relationships/hyperlink" Target="https://www.redfin.com/MA/Brighton/7-Lothian-Rd-02135/unit-B/home/9025402" TargetMode="External" Id="rId69"/><Relationship Type="http://schemas.openxmlformats.org/officeDocument/2006/relationships/hyperlink" Target="https://www.redfin.com/MA/Cambridge/6-Washington-Ave-02140/unit-11/home/11585376" TargetMode="External" Id="rId70"/><Relationship Type="http://schemas.openxmlformats.org/officeDocument/2006/relationships/hyperlink" Target="https://www.redfin.com/MA/Waltham/26-Friend-St-02453/home/11818417" TargetMode="External" Id="rId71"/><Relationship Type="http://schemas.openxmlformats.org/officeDocument/2006/relationships/hyperlink" Target="https://www.redfin.com/MA/Quincy/156-West-St-02169/home/8965188" TargetMode="External" Id="rId72"/><Relationship Type="http://schemas.openxmlformats.org/officeDocument/2006/relationships/hyperlink" Target="https://www.redfin.com/MA/Quincy/134-Sherman-St-02170/home/8992856" TargetMode="External" Id="rId73"/><Relationship Type="http://schemas.openxmlformats.org/officeDocument/2006/relationships/hyperlink" Target="https://www.redfin.com/MA/Brighton/114-Strathmore-Rd-02135/unit-404/home/9026666" TargetMode="External" Id="rId74"/><Relationship Type="http://schemas.openxmlformats.org/officeDocument/2006/relationships/hyperlink" Target="https://www.redfin.com/MA/Brighton/26-Waverly-St-02135/unit-410/home/9010706" TargetMode="External" Id="rId75"/><Relationship Type="http://schemas.openxmlformats.org/officeDocument/2006/relationships/hyperlink" Target="https://www.redfin.com/MA/Brighton/110-Lanark-Rd-02135/unit-10/home/9022452" TargetMode="External" Id="rId76"/><Relationship Type="http://schemas.openxmlformats.org/officeDocument/2006/relationships/hyperlink" Target="https://www.redfin.com/MA/Brighton/90-Kilsyth-Rd-02135/unit-32/home/9021275" TargetMode="External" Id="rId77"/><Relationship Type="http://schemas.openxmlformats.org/officeDocument/2006/relationships/hyperlink" Target="https://www.redfin.com/MA/Cambridge/35-Homer-Ave-02138/unit-7/home/12442078" TargetMode="External" Id="rId78"/><Relationship Type="http://schemas.openxmlformats.org/officeDocument/2006/relationships/hyperlink" Target="https://www.redfin.com/MA/Boston/4-Franklin-St-02134/unit-202/home/190592119" TargetMode="External" Id="rId79"/><Relationship Type="http://schemas.openxmlformats.org/officeDocument/2006/relationships/hyperlink" Target="https://www.redfin.com/MA/Boston/111-Jersey-St-02215/unit-15/home/9317643" TargetMode="External" Id="rId80"/><Relationship Type="http://schemas.openxmlformats.org/officeDocument/2006/relationships/hyperlink" Target="https://www.redfin.com/MA/Newton/549-Centre-St-02458/unit-2/home/11411108" TargetMode="External" Id="rId81"/><Relationship Type="http://schemas.openxmlformats.org/officeDocument/2006/relationships/hyperlink" Target="https://www.redfin.com/MA/Brighton/35-Glencoe-St-02135/unit-43/home/9015948" TargetMode="External" Id="rId82"/><Relationship Type="http://schemas.openxmlformats.org/officeDocument/2006/relationships/hyperlink" Target="https://www.redfin.com/MA/Cambridge/241-Hurley-St-02141/unit-1/home/11603214" TargetMode="External" Id="rId83"/><Relationship Type="http://schemas.openxmlformats.org/officeDocument/2006/relationships/hyperlink" Target="https://www.redfin.com/MA/Quincy/86-E-Howard-St-02169/unit-107/home/9036654" TargetMode="External" Id="rId84"/><Relationship Type="http://schemas.openxmlformats.org/officeDocument/2006/relationships/hyperlink" Target="https://www.redfin.com/MA/Waltham/25-Wellington-St-02451/unit-1/home/11823207" TargetMode="External" Id="rId85"/><Relationship Type="http://schemas.openxmlformats.org/officeDocument/2006/relationships/hyperlink" Target="https://www.redfin.com/MA/Brookline/75-Park-St-02446/unit-8/home/11467606" TargetMode="External" Id="rId86"/><Relationship Type="http://schemas.openxmlformats.org/officeDocument/2006/relationships/hyperlink" Target="https://www.redfin.com/MA/Boston/131-Park-Dr-02215/unit-2/home/9241298" TargetMode="External" Id="rId87"/><Relationship Type="http://schemas.openxmlformats.org/officeDocument/2006/relationships/hyperlink" Target="https://www.redfin.com/MA/Medford/542-Riverside-Ave-02155/home/11801613" TargetMode="External" Id="rId88"/><Relationship Type="http://schemas.openxmlformats.org/officeDocument/2006/relationships/hyperlink" Target="https://www.redfin.com/MA/Quincy/20-Whitney-Rd-02169/unit-U-1/home/200248173" TargetMode="External" Id="rId89"/><Relationship Type="http://schemas.openxmlformats.org/officeDocument/2006/relationships/hyperlink" Target="https://www.redfin.com/MA/Quincy/20-Whitney-Rd-02169/unit-101/home/196906729" TargetMode="External" Id="rId90"/><Relationship Type="http://schemas.openxmlformats.org/officeDocument/2006/relationships/hyperlink" Target="https://www.redfin.com/MA/Watertown/56-Ralph-St-02472/unit-3/home/57314411" TargetMode="External" Id="rId91"/><Relationship Type="http://schemas.openxmlformats.org/officeDocument/2006/relationships/hyperlink" Target="https://www.redfin.com/MA/Brighton/1945-Commonwealth-Ave-02135/unit-4/home/9242382" TargetMode="External" Id="rId92"/><Relationship Type="http://schemas.openxmlformats.org/officeDocument/2006/relationships/hyperlink" Target="https://www.redfin.com/MA/Brighton/26-Chiswick-Rd-02135/unit-6/home/9026723" TargetMode="External" Id="rId93"/><Relationship Type="http://schemas.openxmlformats.org/officeDocument/2006/relationships/hyperlink" Target="https://www.redfin.com/MA/Waltham/10-Washington-Ave-02453/unit-3/home/69378071" TargetMode="External" Id="rId94"/><Relationship Type="http://schemas.openxmlformats.org/officeDocument/2006/relationships/hyperlink" Target="https://www.redfin.com/MA/West-Newton/76-Taft-Ave-02465/unit-1/home/11433253" TargetMode="External" Id="rId95"/><Relationship Type="http://schemas.openxmlformats.org/officeDocument/2006/relationships/hyperlink" Target="https://www.redfin.com/MA/Brighton/28-Sidlaw-Rd-02135/unit-2/home/9007059" TargetMode="External" Id="rId96"/><Relationship Type="http://schemas.openxmlformats.org/officeDocument/2006/relationships/hyperlink" Target="https://www.redfin.com/MA/Quincy/388-Washington-St-02169/unit-101/home/201094286" TargetMode="External" Id="rId97"/><Relationship Type="http://schemas.openxmlformats.org/officeDocument/2006/relationships/hyperlink" Target="https://www.redfin.com/MA/Quincy/16-Littlefield-St-02169/home/8913868" TargetMode="External" Id="rId98"/><Relationship Type="http://schemas.openxmlformats.org/officeDocument/2006/relationships/hyperlink" Target="https://www.redfin.com/MA/Quincy/200-Falls-Blvd-02169/unit-E101/home/11496568" TargetMode="External" Id="rId99"/><Relationship Type="http://schemas.openxmlformats.org/officeDocument/2006/relationships/hyperlink" Target="https://www.redfin.com/MA/Brighton/70-Strathmore-Rd-02135/unit-10A/home/9028575" TargetMode="External" Id="rId100"/><Relationship Type="http://schemas.openxmlformats.org/officeDocument/2006/relationships/hyperlink" Target="https://www.redfin.com/MA/Brighton/370-Chestnut-Hill-Ave-02135/unit-3/home/39912751" TargetMode="External" Id="rId101"/><Relationship Type="http://schemas.openxmlformats.org/officeDocument/2006/relationships/hyperlink" Target="https://www.redfin.com/MA/Waltham/10-Washington-Ave-02453/unit-2/home/77522479" TargetMode="External" Id="rId102"/><Relationship Type="http://schemas.openxmlformats.org/officeDocument/2006/relationships/hyperlink" Target="https://www.redfin.com/MA/Watertown/1-Clayton-St-02472/unit-1/home/113239262" TargetMode="External" Id="rId103"/><Relationship Type="http://schemas.openxmlformats.org/officeDocument/2006/relationships/hyperlink" Target="https://www.redfin.com/MA/Brighton/26-Waverly-St-02135/unit-202/home/9010573" TargetMode="External" Id="rId104"/><Relationship Type="http://schemas.openxmlformats.org/officeDocument/2006/relationships/hyperlink" Target="https://www.redfin.com/MA/Boston/191-Washington-St-02135/unit-317/home/176134081" TargetMode="External" Id="rId105"/><Relationship Type="http://schemas.openxmlformats.org/officeDocument/2006/relationships/hyperlink" Target="https://www.redfin.com/MA/Boston/51-Park-Dr-02215/unit-25/home/9273877" TargetMode="External" Id="rId106"/><Relationship Type="http://schemas.openxmlformats.org/officeDocument/2006/relationships/hyperlink" Target="https://www.redfin.com/MA/Waltham/231-Lowell-St-02453/unit-2/home/11822485" TargetMode="External" Id="rId107"/><Relationship Type="http://schemas.openxmlformats.org/officeDocument/2006/relationships/hyperlink" Target="https://www.redfin.com/MA/Brighton/189-Chestnut-Hill-Ave-02135/unit-14/home/9036897" TargetMode="External" Id="rId108"/><Relationship Type="http://schemas.openxmlformats.org/officeDocument/2006/relationships/hyperlink" Target="https://www.redfin.com/MA/Brighton/48-Strathmore-Rd-02135/unit-26/home/9028847" TargetMode="External" Id="rId109"/><Relationship Type="http://schemas.openxmlformats.org/officeDocument/2006/relationships/hyperlink" Target="https://www.redfin.com/MA/Brighton/1870-Commonwealth-Ave-02135/unit-1/home/9027994" TargetMode="External" Id="rId110"/><Relationship Type="http://schemas.openxmlformats.org/officeDocument/2006/relationships/hyperlink" Target="https://www.redfin.com/MA/Somerville/46-Highland-Ave-02143/unit-3B/home/12404017" TargetMode="External" Id="rId111"/><Relationship Type="http://schemas.openxmlformats.org/officeDocument/2006/relationships/hyperlink" Target="https://www.redfin.com/MA/Somerville/33-Newbury-St-02144/unit-1/home/12389795" TargetMode="External" Id="rId112"/><Relationship Type="http://schemas.openxmlformats.org/officeDocument/2006/relationships/hyperlink" Target="https://www.redfin.com/MA/Quincy/14-Presidents-Ln-02169/unit-10/home/8931158" TargetMode="External" Id="rId113"/><Relationship Type="http://schemas.openxmlformats.org/officeDocument/2006/relationships/hyperlink" Target="https://www.redfin.com/MA/Quincy/585-Washington-St-02169/unit-202/home/200582027" TargetMode="External" Id="rId114"/><Relationship Type="http://schemas.openxmlformats.org/officeDocument/2006/relationships/hyperlink" Target="https://www.redfin.com/MA/Brighton/15-Colliston-Rd-02135/unit-6/home/9004520" TargetMode="External" Id="rId115"/><Relationship Type="http://schemas.openxmlformats.org/officeDocument/2006/relationships/hyperlink" Target="https://www.redfin.com/MA/Watertown/32-Whites-Ave-02472/unit-D65/home/11705029" TargetMode="External" Id="rId116"/><Relationship Type="http://schemas.openxmlformats.org/officeDocument/2006/relationships/hyperlink" Target="https://www.redfin.com/MA/Cambridge/2353-Massachusetts-Ave-02140/unit-93/home/11579819" TargetMode="External" Id="rId117"/><Relationship Type="http://schemas.openxmlformats.org/officeDocument/2006/relationships/hyperlink" Target="https://www.redfin.com/MA/Quincy/21-Totman-St-02169/unit-204/home/196651838" TargetMode="External" Id="rId118"/><Relationship Type="http://schemas.openxmlformats.org/officeDocument/2006/relationships/hyperlink" Target="https://www.redfin.com/MA/Brighton/1868-Commonwealth-Ave-02135/unit-1/home/9028075" TargetMode="External" Id="rId119"/><Relationship Type="http://schemas.openxmlformats.org/officeDocument/2006/relationships/hyperlink" Target="https://www.redfin.com/MA/Boston/70-Leo-M-Birmingham-Pkwy-02135/unit-416/home/178944372" TargetMode="External" Id="rId120"/><Relationship Type="http://schemas.openxmlformats.org/officeDocument/2006/relationships/hyperlink" Target="https://www.redfin.com/MA/Brookline/22-Chestnut-Pl-02445/unit-210/home/11492260" TargetMode="External" Id="rId121"/><Relationship Type="http://schemas.openxmlformats.org/officeDocument/2006/relationships/hyperlink" Target="https://www.redfin.com/MA/Watertown/4-Repton-Cir-02472/unit-4105/home/18977070" TargetMode="External" Id="rId122"/><Relationship Type="http://schemas.openxmlformats.org/officeDocument/2006/relationships/hyperlink" Target="https://www.redfin.com/MA/Cambridge/6-Garden-Ct-02138/unit-5/home/11600335" TargetMode="External" Id="rId123"/><Relationship Type="http://schemas.openxmlformats.org/officeDocument/2006/relationships/hyperlink" Target="https://www.redfin.com/MA/Cambridge/395-Broadway-02139/unit-L3F/home/11563377" TargetMode="External" Id="rId124"/><Relationship Type="http://schemas.openxmlformats.org/officeDocument/2006/relationships/hyperlink" Target="https://www.redfin.com/MA/Boston/Undisclosed-address-02215/home/9273827" TargetMode="External" Id="rId125"/><Relationship Type="http://schemas.openxmlformats.org/officeDocument/2006/relationships/hyperlink" Target="https://www.redfin.com/MA/Medford/618-Boston-Ave-02155/unit-4A/home/11798302" TargetMode="External" Id="rId126"/><Relationship Type="http://schemas.openxmlformats.org/officeDocument/2006/relationships/hyperlink" Target="https://www.redfin.com/MA/Medford/314-Riverside-Ave-02155/unit-408/home/11794508" TargetMode="External" Id="rId127"/><Relationship Type="http://schemas.openxmlformats.org/officeDocument/2006/relationships/hyperlink" Target="https://www.redfin.com/MA/Medford/314-Riverside-Ave-02155/unit-305/home/11794499" TargetMode="External" Id="rId128"/><Relationship Type="http://schemas.openxmlformats.org/officeDocument/2006/relationships/hyperlink" Target="https://www.redfin.com/MA/Chestnut-Hill/28-Westgate-Rd-02467/unit-3/home/9204984" TargetMode="External" Id="rId129"/><Relationship Type="http://schemas.openxmlformats.org/officeDocument/2006/relationships/hyperlink" Target="https://www.redfin.com/MA/Cambridge/2353-Massachusetts-Ave-02140/unit-44/home/11579692" TargetMode="External" Id="rId130"/><Relationship Type="http://schemas.openxmlformats.org/officeDocument/2006/relationships/hyperlink" Target="https://www.redfin.com/MA/Quincy/21-Totman-St-02169/unit-403/home/200992802" TargetMode="External" Id="rId131"/><Relationship Type="http://schemas.openxmlformats.org/officeDocument/2006/relationships/hyperlink" Target="https://www.redfin.com/MA/Waltham/17-Robbins-St-02453/unit-2-2/home/18960411" TargetMode="External" Id="rId132"/><Relationship Type="http://schemas.openxmlformats.org/officeDocument/2006/relationships/hyperlink" Target="https://www.redfin.com/MA/Cambridge/29-Concord-Ave-02138/unit-501/home/11586445" TargetMode="External" Id="rId133"/><Relationship Type="http://schemas.openxmlformats.org/officeDocument/2006/relationships/hyperlink" Target="https://www.redfin.com/MA/Cambridge/269-Harvard-St-02139/unit-19/home/11562614" TargetMode="External" Id="rId134"/><Relationship Type="http://schemas.openxmlformats.org/officeDocument/2006/relationships/hyperlink" Target="https://www.redfin.com/MA/Boston/131-Park-Dr-02215/unit-12/home/11735495" TargetMode="External" Id="rId135"/><Relationship Type="http://schemas.openxmlformats.org/officeDocument/2006/relationships/hyperlink" Target="https://www.redfin.com/MA/Boston/66-Queensberry-St-02215/unit-221/home/9241434" TargetMode="External" Id="rId136"/><Relationship Type="http://schemas.openxmlformats.org/officeDocument/2006/relationships/hyperlink" Target="https://www.redfin.com/MA/Boston/922-Beacon-St-02215/unit-24/home/9251146" TargetMode="Externa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5" customWidth="1" min="4" max="4"/>
    <col width="10" customWidth="1" min="5" max="5"/>
    <col width="10" customWidth="1" min="6" max="6"/>
    <col width="8" customWidth="1" min="7" max="7"/>
    <col width="9" customWidth="1" min="8" max="8"/>
    <col width="9" customWidth="1" min="9" max="9"/>
    <col width="19" customWidth="1" min="10" max="10"/>
    <col width="12" customWidth="1" min="11" max="11"/>
    <col width="19" customWidth="1" min="12" max="12"/>
    <col width="15" customWidth="1" min="13" max="13"/>
    <col width="50" customWidth="1" min="14" max="14"/>
    <col width="27" customWidth="1" min="15" max="15"/>
    <col width="19" customWidth="1" min="16" max="16"/>
    <col width="34" customWidth="1" min="17" max="17"/>
    <col width="29" customWidth="1" min="18" max="18"/>
    <col width="21" customWidth="1" min="19" max="19"/>
    <col width="39" customWidth="1" min="20" max="20"/>
    <col width="23" customWidth="1" min="21" max="21"/>
    <col width="26" customWidth="1" min="22" max="22"/>
    <col width="25" customWidth="1" min="23" max="23"/>
    <col width="16" customWidth="1" min="24" max="24"/>
    <col width="10" customWidth="1" min="25" max="25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Listed Date</t>
        </is>
      </c>
      <c r="E1" s="1" t="inlineStr">
        <is>
          <t>Price</t>
        </is>
      </c>
      <c r="F1" s="1" t="inlineStr">
        <is>
          <t>HOA/mo</t>
        </is>
      </c>
      <c r="G1" s="1" t="inlineStr">
        <is>
          <t>Beds</t>
        </is>
      </c>
      <c r="H1" s="1" t="inlineStr">
        <is>
          <t>Baths</t>
        </is>
      </c>
      <c r="I1" s="1" t="inlineStr">
        <is>
          <t>Sq Ft</t>
        </is>
      </c>
      <c r="J1" s="1" t="inlineStr">
        <is>
          <t>In-Unit Laundry</t>
        </is>
      </c>
      <c r="K1" s="1" t="inlineStr">
        <is>
          <t>Parking</t>
        </is>
      </c>
      <c r="L1" s="1" t="inlineStr">
        <is>
          <t>Down Payment $</t>
        </is>
      </c>
      <c r="M1" s="1" t="inlineStr">
        <is>
          <t>Loan Amount</t>
        </is>
      </c>
      <c r="N1" s="1" t="inlineStr">
        <is>
          <t>Monthly Mortgage</t>
        </is>
      </c>
      <c r="O1" s="1" t="inlineStr">
        <is>
          <t>Property Tax/mo</t>
        </is>
      </c>
      <c r="P1" s="1" t="inlineStr">
        <is>
          <t>Insurance/mo</t>
        </is>
      </c>
      <c r="Q1" s="1" t="inlineStr">
        <is>
          <t>Utilities+Internet</t>
        </is>
      </c>
      <c r="R1" s="1" t="inlineStr">
        <is>
          <t>Total Monthly Cost</t>
        </is>
      </c>
      <c r="S1" s="1" t="inlineStr">
        <is>
          <t>Rent per Roommate</t>
        </is>
      </c>
      <c r="T1" s="1" t="inlineStr">
        <is>
          <t>Net Monthly Cost</t>
        </is>
      </c>
      <c r="U1" s="1" t="inlineStr">
        <is>
          <t>Drive to MBTA (min)</t>
        </is>
      </c>
      <c r="V1" s="1" t="inlineStr">
        <is>
          <t>Drive to Seaport (min)</t>
        </is>
      </c>
      <c r="W1" s="1" t="inlineStr">
        <is>
          <t>Drive to Google (min)</t>
        </is>
      </c>
      <c r="X1" s="1" t="inlineStr">
        <is>
          <t>Rating Score</t>
        </is>
      </c>
      <c r="Y1" s="1" t="inlineStr">
        <is>
          <t>Rating</t>
        </is>
      </c>
    </row>
    <row r="2">
      <c r="A2" s="5" t="inlineStr">
        <is>
          <t>5 Spofford Rd #17, Allston, MA 02134</t>
        </is>
      </c>
      <c r="B2" t="inlineStr">
        <is>
          <t>Allston</t>
        </is>
      </c>
      <c r="C2" s="6" t="inlineStr">
        <is>
          <t>https://www.redfin.com/MA/Allston/5-Spofford-Rd-02134/unit-17/home/8995633</t>
        </is>
      </c>
      <c r="D2" s="7" t="inlineStr">
        <is>
          <t>2026-01-06</t>
        </is>
      </c>
      <c r="E2" s="3" t="n">
        <v>225000</v>
      </c>
      <c r="F2" s="3" t="n">
        <v>198</v>
      </c>
      <c r="G2" t="n">
        <v>0</v>
      </c>
      <c r="H2" t="n">
        <v>1</v>
      </c>
      <c r="I2" s="4" t="n">
        <v>246</v>
      </c>
      <c r="J2" t="inlineStr">
        <is>
          <t>No</t>
        </is>
      </c>
      <c r="K2" t="inlineStr">
        <is>
          <t>0 spaces</t>
        </is>
      </c>
      <c r="L2" s="3">
        <f>Assumptions!B3</f>
        <v/>
      </c>
      <c r="M2" s="3">
        <f>E2-L2</f>
        <v/>
      </c>
      <c r="N2" s="3">
        <f>-PMT(Assumptions!B2/12,Assumptions!B4*12,M2)</f>
        <v/>
      </c>
      <c r="O2" s="3">
        <f>E2*Assumptions!B5/12</f>
        <v/>
      </c>
      <c r="P2" s="3">
        <f>Assumptions!B6</f>
        <v/>
      </c>
      <c r="Q2" s="3">
        <f>Assumptions!B7+Assumptions!B8</f>
        <v/>
      </c>
      <c r="R2" s="3">
        <f>N2+F2+O2+P2+Q2</f>
        <v/>
      </c>
      <c r="S2" s="3" t="n">
        <v>0</v>
      </c>
      <c r="T2" s="3">
        <f>R2-S2*MAX(IFERROR(G2-1,0),0)</f>
        <v/>
      </c>
      <c r="U2" t="n">
        <v>1</v>
      </c>
      <c r="V2" t="n">
        <v>11.5</v>
      </c>
      <c r="W2" t="n">
        <v>11.2</v>
      </c>
      <c r="X2" s="8" t="n">
        <v>2.55</v>
      </c>
      <c r="Y2" t="inlineStr">
        <is>
          <t>Green</t>
        </is>
      </c>
    </row>
    <row r="3">
      <c r="A3" s="5" t="inlineStr">
        <is>
          <t>40-42 Upham St #1, Malden, MA 02148</t>
        </is>
      </c>
      <c r="B3" t="inlineStr">
        <is>
          <t>Malden</t>
        </is>
      </c>
      <c r="C3" s="6" t="inlineStr">
        <is>
          <t>https://www.redfin.com/MA/Malden/40-Upham-St-02148/unit-1/home/187160997</t>
        </is>
      </c>
      <c r="D3" s="7" t="inlineStr">
        <is>
          <t>2025-12-11</t>
        </is>
      </c>
      <c r="E3" s="3" t="n">
        <v>480000</v>
      </c>
      <c r="F3" s="3" t="n">
        <v>0</v>
      </c>
      <c r="G3" t="n">
        <v>2</v>
      </c>
      <c r="H3" t="n">
        <v>2</v>
      </c>
      <c r="I3" s="4" t="n">
        <v>933</v>
      </c>
      <c r="J3" t="inlineStr">
        <is>
          <t>No</t>
        </is>
      </c>
      <c r="K3" t="inlineStr">
        <is>
          <t>1 space</t>
        </is>
      </c>
      <c r="L3" s="3">
        <f>Assumptions!B3</f>
        <v/>
      </c>
      <c r="M3" s="3">
        <f>E3-L3</f>
        <v/>
      </c>
      <c r="N3" s="3">
        <f>-PMT(Assumptions!B2/12,Assumptions!B4*12,M3)</f>
        <v/>
      </c>
      <c r="O3" s="3">
        <f>E3*Assumptions!B5/12</f>
        <v/>
      </c>
      <c r="P3" s="3">
        <f>Assumptions!B6</f>
        <v/>
      </c>
      <c r="Q3" s="3">
        <f>Assumptions!B7+Assumptions!B8</f>
        <v/>
      </c>
      <c r="R3" s="3">
        <f>N3+F3+O3+P3+Q3</f>
        <v/>
      </c>
      <c r="S3" s="3" t="n">
        <v>1202</v>
      </c>
      <c r="T3" s="3">
        <f>R3-S3*MAX(IFERROR(G3-1,0),0)</f>
        <v/>
      </c>
      <c r="U3" t="n">
        <v>2.3</v>
      </c>
      <c r="V3" t="n">
        <v>14.1</v>
      </c>
      <c r="W3" t="n">
        <v>11.6</v>
      </c>
      <c r="X3" s="8" t="n">
        <v>2.55</v>
      </c>
      <c r="Y3" t="inlineStr">
        <is>
          <t>Green</t>
        </is>
      </c>
    </row>
    <row r="4">
      <c r="A4" s="5" t="inlineStr">
        <is>
          <t>159 Madison St, Malden, MA 02148</t>
        </is>
      </c>
      <c r="B4" t="inlineStr">
        <is>
          <t>Malden</t>
        </is>
      </c>
      <c r="C4" s="6" t="inlineStr">
        <is>
          <t>https://www.redfin.com/MA/Malden/159-Madison-St-02148/home/11391337</t>
        </is>
      </c>
      <c r="D4" s="7" t="inlineStr">
        <is>
          <t>2026-04-08</t>
        </is>
      </c>
      <c r="E4" s="3" t="n">
        <v>524900</v>
      </c>
      <c r="F4" s="3" t="n">
        <v>0</v>
      </c>
      <c r="G4" t="n">
        <v>2</v>
      </c>
      <c r="H4" t="n">
        <v>1</v>
      </c>
      <c r="I4" s="4" t="n">
        <v>1091</v>
      </c>
      <c r="J4" t="inlineStr">
        <is>
          <t>No</t>
        </is>
      </c>
      <c r="K4" t="inlineStr">
        <is>
          <t>2 spaces</t>
        </is>
      </c>
      <c r="L4" s="3">
        <f>Assumptions!B3</f>
        <v/>
      </c>
      <c r="M4" s="3">
        <f>E4-L4</f>
        <v/>
      </c>
      <c r="N4" s="3">
        <f>-PMT(Assumptions!B2/12,Assumptions!B4*12,M4)</f>
        <v/>
      </c>
      <c r="O4" s="3">
        <f>E4*Assumptions!B5/12</f>
        <v/>
      </c>
      <c r="P4" s="3">
        <f>Assumptions!B6</f>
        <v/>
      </c>
      <c r="Q4" s="3">
        <f>Assumptions!B7+Assumptions!B8</f>
        <v/>
      </c>
      <c r="R4" s="3">
        <f>N4+F4+O4+P4+Q4</f>
        <v/>
      </c>
      <c r="S4" s="3" t="n">
        <v>1202</v>
      </c>
      <c r="T4" s="3">
        <f>R4-S4*MAX(IFERROR(G4-1,0),0)</f>
        <v/>
      </c>
      <c r="U4" t="n">
        <v>2.2</v>
      </c>
      <c r="V4" t="n">
        <v>12.1</v>
      </c>
      <c r="W4" t="n">
        <v>10.5</v>
      </c>
      <c r="X4" s="8" t="n">
        <v>2.45</v>
      </c>
      <c r="Y4" t="inlineStr">
        <is>
          <t>Green</t>
        </is>
      </c>
    </row>
    <row r="5">
      <c r="A5" s="5" t="inlineStr">
        <is>
          <t>111 Devir #204, Malden, MA 02148</t>
        </is>
      </c>
      <c r="B5" t="inlineStr">
        <is>
          <t>Malden</t>
        </is>
      </c>
      <c r="C5" s="6" t="inlineStr">
        <is>
          <t>https://www.redfin.com/MA/Malden/111-Devir-St-02148/unit-204/home/11388868</t>
        </is>
      </c>
      <c r="D5" s="7" t="inlineStr">
        <is>
          <t>2026-04-01</t>
        </is>
      </c>
      <c r="E5" s="3" t="n">
        <v>469000</v>
      </c>
      <c r="F5" s="3" t="n">
        <v>343</v>
      </c>
      <c r="G5" t="n">
        <v>2</v>
      </c>
      <c r="H5" t="n">
        <v>1.5</v>
      </c>
      <c r="I5" s="4" t="n">
        <v>936</v>
      </c>
      <c r="J5" t="inlineStr">
        <is>
          <t>No</t>
        </is>
      </c>
      <c r="K5" t="inlineStr">
        <is>
          <t>1 space</t>
        </is>
      </c>
      <c r="L5" s="3">
        <f>Assumptions!B3</f>
        <v/>
      </c>
      <c r="M5" s="3">
        <f>E5-L5</f>
        <v/>
      </c>
      <c r="N5" s="3">
        <f>-PMT(Assumptions!B2/12,Assumptions!B4*12,M5)</f>
        <v/>
      </c>
      <c r="O5" s="3">
        <f>E5*Assumptions!B5/12</f>
        <v/>
      </c>
      <c r="P5" s="3">
        <f>Assumptions!B6</f>
        <v/>
      </c>
      <c r="Q5" s="3">
        <f>Assumptions!B7+Assumptions!B8</f>
        <v/>
      </c>
      <c r="R5" s="3">
        <f>N5+F5+O5+P5+Q5</f>
        <v/>
      </c>
      <c r="S5" s="3" t="n">
        <v>1202</v>
      </c>
      <c r="T5" s="3">
        <f>R5-S5*MAX(IFERROR(G5-1,0),0)</f>
        <v/>
      </c>
      <c r="U5" t="n">
        <v>3.2</v>
      </c>
      <c r="V5" t="n">
        <v>11.1</v>
      </c>
      <c r="W5" t="n">
        <v>9.699999999999999</v>
      </c>
      <c r="X5" s="8" t="n">
        <v>2.45</v>
      </c>
      <c r="Y5" t="inlineStr">
        <is>
          <t>Green</t>
        </is>
      </c>
    </row>
    <row r="6">
      <c r="A6" s="5" t="inlineStr">
        <is>
          <t>212-A Quincy Shore Dr, Quincy, MA 02171</t>
        </is>
      </c>
      <c r="B6" t="inlineStr">
        <is>
          <t>Quincy</t>
        </is>
      </c>
      <c r="C6" s="6" t="inlineStr">
        <is>
          <t>https://www.redfin.com/MA/Quincy/212-Quincy-Shore-Dr-02171/home/9009303</t>
        </is>
      </c>
      <c r="D6" s="7" t="n"/>
      <c r="E6" s="3" t="n">
        <v>499900</v>
      </c>
      <c r="F6" s="3" t="n">
        <v>0</v>
      </c>
      <c r="G6" t="n">
        <v>2</v>
      </c>
      <c r="H6" t="n">
        <v>1</v>
      </c>
      <c r="I6" s="4" t="n">
        <v>864</v>
      </c>
      <c r="J6" t="inlineStr">
        <is>
          <t>No</t>
        </is>
      </c>
      <c r="K6" t="inlineStr">
        <is>
          <t>0 spaces</t>
        </is>
      </c>
      <c r="L6" s="3">
        <f>Assumptions!B3</f>
        <v/>
      </c>
      <c r="M6" s="3">
        <f>E6-L6</f>
        <v/>
      </c>
      <c r="N6" s="3">
        <f>-PMT(Assumptions!B2/12,Assumptions!B4*12,M6)</f>
        <v/>
      </c>
      <c r="O6" s="3">
        <f>E6*Assumptions!B5/12</f>
        <v/>
      </c>
      <c r="P6" s="3">
        <f>Assumptions!B6</f>
        <v/>
      </c>
      <c r="Q6" s="3">
        <f>Assumptions!B7+Assumptions!B8</f>
        <v/>
      </c>
      <c r="R6" s="3">
        <f>N6+F6+O6+P6+Q6</f>
        <v/>
      </c>
      <c r="S6" s="3" t="n">
        <v>1170</v>
      </c>
      <c r="T6" s="3">
        <f>R6-S6*MAX(IFERROR(G6-1,0),0)</f>
        <v/>
      </c>
      <c r="U6" t="n">
        <v>5</v>
      </c>
      <c r="V6" t="n">
        <v>12.6</v>
      </c>
      <c r="W6" t="n">
        <v>16.7</v>
      </c>
      <c r="X6" s="8" t="n">
        <v>2.4</v>
      </c>
      <c r="Y6" t="inlineStr">
        <is>
          <t>Green</t>
        </is>
      </c>
    </row>
    <row r="7">
      <c r="A7" s="5" t="inlineStr">
        <is>
          <t>198 Allston St #3, Brighton, MA 02134</t>
        </is>
      </c>
      <c r="B7" t="inlineStr">
        <is>
          <t>Brighton</t>
        </is>
      </c>
      <c r="C7" s="6" t="inlineStr">
        <is>
          <t>https://www.redfin.com/MA/Brighton/198-Allston-St-02135/unit-3/home/9013031</t>
        </is>
      </c>
      <c r="D7" s="7" t="n"/>
      <c r="E7" s="3" t="n">
        <v>270000</v>
      </c>
      <c r="F7" s="3" t="n">
        <v>295</v>
      </c>
      <c r="G7" t="n">
        <v>1</v>
      </c>
      <c r="H7" t="n">
        <v>1</v>
      </c>
      <c r="I7" s="4" t="n">
        <v>318</v>
      </c>
      <c r="J7" t="inlineStr">
        <is>
          <t>No</t>
        </is>
      </c>
      <c r="K7" t="inlineStr">
        <is>
          <t>0 spaces</t>
        </is>
      </c>
      <c r="L7" s="3">
        <f>Assumptions!B3</f>
        <v/>
      </c>
      <c r="M7" s="3">
        <f>E7-L7</f>
        <v/>
      </c>
      <c r="N7" s="3">
        <f>-PMT(Assumptions!B2/12,Assumptions!B4*12,M7)</f>
        <v/>
      </c>
      <c r="O7" s="3">
        <f>E7*Assumptions!B5/12</f>
        <v/>
      </c>
      <c r="P7" s="3">
        <f>Assumptions!B6</f>
        <v/>
      </c>
      <c r="Q7" s="3">
        <f>Assumptions!B7+Assumptions!B8</f>
        <v/>
      </c>
      <c r="R7" s="3">
        <f>N7+F7+O7+P7+Q7</f>
        <v/>
      </c>
      <c r="S7" s="3" t="n">
        <v>0</v>
      </c>
      <c r="T7" s="3">
        <f>R7-S7*MAX(IFERROR(G7-1,0),0)</f>
        <v/>
      </c>
      <c r="U7" t="n">
        <v>0.8</v>
      </c>
      <c r="V7" t="n">
        <v>12.4</v>
      </c>
      <c r="W7" t="n">
        <v>12</v>
      </c>
      <c r="X7" s="8" t="n">
        <v>2.4</v>
      </c>
      <c r="Y7" t="inlineStr">
        <is>
          <t>Green</t>
        </is>
      </c>
    </row>
    <row r="8">
      <c r="A8" s="5" t="inlineStr">
        <is>
          <t>0 Gordon Rd, Medford, MA 02155</t>
        </is>
      </c>
      <c r="B8" t="inlineStr">
        <is>
          <t>Medford</t>
        </is>
      </c>
      <c r="C8" s="6" t="inlineStr">
        <is>
          <t>https://www.redfin.com/MA/Medford/0-Gordon-Rd-02155/home/187063221</t>
        </is>
      </c>
      <c r="D8" s="7" t="n"/>
      <c r="E8" s="3" t="n">
        <v>369000</v>
      </c>
      <c r="F8" s="3" t="n">
        <v>0</v>
      </c>
      <c r="I8" s="4" t="n"/>
      <c r="J8" t="inlineStr">
        <is>
          <t>No</t>
        </is>
      </c>
      <c r="K8" t="inlineStr">
        <is>
          <t>Unknown</t>
        </is>
      </c>
      <c r="L8" s="3">
        <f>Assumptions!B3</f>
        <v/>
      </c>
      <c r="M8" s="3">
        <f>E8-L8</f>
        <v/>
      </c>
      <c r="N8" s="3">
        <f>-PMT(Assumptions!B2/12,Assumptions!B4*12,M8)</f>
        <v/>
      </c>
      <c r="O8" s="3">
        <f>E8*Assumptions!B5/12</f>
        <v/>
      </c>
      <c r="P8" s="3">
        <f>Assumptions!B6</f>
        <v/>
      </c>
      <c r="Q8" s="3">
        <f>Assumptions!B7+Assumptions!B8</f>
        <v/>
      </c>
      <c r="R8" s="3">
        <f>N8+F8+O8+P8+Q8</f>
        <v/>
      </c>
      <c r="S8" s="3" t="n">
        <v>0</v>
      </c>
      <c r="T8" s="3">
        <f>R8-S8*MAX(IFERROR(G8-1,0),0)</f>
        <v/>
      </c>
      <c r="U8" t="n">
        <v>5</v>
      </c>
      <c r="V8" t="n">
        <v>12.2</v>
      </c>
      <c r="W8" t="n">
        <v>12.4</v>
      </c>
      <c r="X8" s="8" t="n">
        <v>2.35</v>
      </c>
      <c r="Y8" t="inlineStr">
        <is>
          <t>Green</t>
        </is>
      </c>
    </row>
    <row r="9">
      <c r="A9" s="5" t="inlineStr">
        <is>
          <t>27 Sixth Ave, Quincy, MA 02169</t>
        </is>
      </c>
      <c r="B9" t="inlineStr">
        <is>
          <t>Quincy</t>
        </is>
      </c>
      <c r="C9" s="6" t="inlineStr">
        <is>
          <t>https://www.redfin.com/MA/Quincy/27-6th-Ave-02169/home/8946597</t>
        </is>
      </c>
      <c r="D9" s="7" t="n"/>
      <c r="E9" s="3" t="n">
        <v>499000</v>
      </c>
      <c r="F9" s="3" t="n">
        <v>0</v>
      </c>
      <c r="G9" t="n">
        <v>3</v>
      </c>
      <c r="H9" t="n">
        <v>1</v>
      </c>
      <c r="I9" s="4" t="n">
        <v>1134</v>
      </c>
      <c r="J9" t="inlineStr">
        <is>
          <t>No</t>
        </is>
      </c>
      <c r="K9" t="inlineStr">
        <is>
          <t>0 spaces</t>
        </is>
      </c>
      <c r="L9" s="3">
        <f>Assumptions!B3</f>
        <v/>
      </c>
      <c r="M9" s="3">
        <f>E9-L9</f>
        <v/>
      </c>
      <c r="N9" s="3">
        <f>-PMT(Assumptions!B2/12,Assumptions!B4*12,M9)</f>
        <v/>
      </c>
      <c r="O9" s="3">
        <f>E9*Assumptions!B5/12</f>
        <v/>
      </c>
      <c r="P9" s="3">
        <f>Assumptions!B6</f>
        <v/>
      </c>
      <c r="Q9" s="3">
        <f>Assumptions!B7+Assumptions!B8</f>
        <v/>
      </c>
      <c r="R9" s="3">
        <f>N9+F9+O9+P9+Q9</f>
        <v/>
      </c>
      <c r="S9" s="3" t="n">
        <v>1170</v>
      </c>
      <c r="T9" s="3">
        <f>R9-S9*MAX(IFERROR(G9-1,0),0)</f>
        <v/>
      </c>
      <c r="U9" t="n">
        <v>4</v>
      </c>
      <c r="V9" t="n">
        <v>20.1</v>
      </c>
      <c r="W9" t="n">
        <v>24.2</v>
      </c>
      <c r="X9" s="8" t="n">
        <v>2.35</v>
      </c>
      <c r="Y9" t="inlineStr">
        <is>
          <t>Green</t>
        </is>
      </c>
    </row>
    <row r="10">
      <c r="A10" s="5" t="inlineStr">
        <is>
          <t>1 Glenwood St #5, Malden, MA 02148</t>
        </is>
      </c>
      <c r="B10" t="inlineStr">
        <is>
          <t>Malden</t>
        </is>
      </c>
      <c r="C10" s="6" t="inlineStr">
        <is>
          <t>https://www.redfin.com/MA/Malden/1-Glenwood-St-02148/unit-5/home/11429024</t>
        </is>
      </c>
      <c r="D10" s="7" t="inlineStr">
        <is>
          <t>2026-03-25</t>
        </is>
      </c>
      <c r="E10" s="3" t="n">
        <v>499000</v>
      </c>
      <c r="F10" s="3" t="n">
        <v>327</v>
      </c>
      <c r="G10" t="n">
        <v>3</v>
      </c>
      <c r="H10" t="n">
        <v>2</v>
      </c>
      <c r="I10" s="4" t="n">
        <v>1098</v>
      </c>
      <c r="J10" t="inlineStr">
        <is>
          <t>No</t>
        </is>
      </c>
      <c r="K10" t="inlineStr">
        <is>
          <t>0 spaces</t>
        </is>
      </c>
      <c r="L10" s="3">
        <f>Assumptions!B3</f>
        <v/>
      </c>
      <c r="M10" s="3">
        <f>E10-L10</f>
        <v/>
      </c>
      <c r="N10" s="3">
        <f>-PMT(Assumptions!B2/12,Assumptions!B4*12,M10)</f>
        <v/>
      </c>
      <c r="O10" s="3">
        <f>E10*Assumptions!B5/12</f>
        <v/>
      </c>
      <c r="P10" s="3">
        <f>Assumptions!B6</f>
        <v/>
      </c>
      <c r="Q10" s="3">
        <f>Assumptions!B7+Assumptions!B8</f>
        <v/>
      </c>
      <c r="R10" s="3">
        <f>N10+F10+O10+P10+Q10</f>
        <v/>
      </c>
      <c r="S10" s="3" t="n">
        <v>1202</v>
      </c>
      <c r="T10" s="3">
        <f>R10-S10*MAX(IFERROR(G10-1,0),0)</f>
        <v/>
      </c>
      <c r="U10" t="n">
        <v>0.3</v>
      </c>
      <c r="V10" t="n">
        <v>14.2</v>
      </c>
      <c r="W10" t="n">
        <v>12.7</v>
      </c>
      <c r="X10" s="8" t="n">
        <v>2.35</v>
      </c>
      <c r="Y10" t="inlineStr">
        <is>
          <t>Green</t>
        </is>
      </c>
    </row>
    <row r="11">
      <c r="A11" s="5" t="inlineStr">
        <is>
          <t>217-221 Highland Ave #2, Malden, MA 02148</t>
        </is>
      </c>
      <c r="B11" t="inlineStr">
        <is>
          <t>Malden</t>
        </is>
      </c>
      <c r="C11" s="6" t="inlineStr">
        <is>
          <t>https://www.redfin.com/MA/Malden/217-Highland-Ave-02148/unit-2/home/137151214</t>
        </is>
      </c>
      <c r="D11" s="7" t="inlineStr">
        <is>
          <t>2025-06-17</t>
        </is>
      </c>
      <c r="E11" s="3" t="n">
        <v>499800</v>
      </c>
      <c r="F11" s="3" t="n">
        <v>390</v>
      </c>
      <c r="G11" t="n">
        <v>3</v>
      </c>
      <c r="H11" t="n">
        <v>1.5</v>
      </c>
      <c r="I11" s="4" t="n">
        <v>1483</v>
      </c>
      <c r="J11" t="inlineStr">
        <is>
          <t>No</t>
        </is>
      </c>
      <c r="K11" t="inlineStr">
        <is>
          <t>2 spaces</t>
        </is>
      </c>
      <c r="L11" s="3">
        <f>Assumptions!B3</f>
        <v/>
      </c>
      <c r="M11" s="3">
        <f>E11-L11</f>
        <v/>
      </c>
      <c r="N11" s="3">
        <f>-PMT(Assumptions!B2/12,Assumptions!B4*12,M11)</f>
        <v/>
      </c>
      <c r="O11" s="3">
        <f>E11*Assumptions!B5/12</f>
        <v/>
      </c>
      <c r="P11" s="3">
        <f>Assumptions!B6</f>
        <v/>
      </c>
      <c r="Q11" s="3">
        <f>Assumptions!B7+Assumptions!B8</f>
        <v/>
      </c>
      <c r="R11" s="3">
        <f>N11+F11+O11+P11+Q11</f>
        <v/>
      </c>
      <c r="S11" s="3" t="n">
        <v>1202</v>
      </c>
      <c r="T11" s="3">
        <f>R11-S11*MAX(IFERROR(G11-1,0),0)</f>
        <v/>
      </c>
      <c r="U11" t="n">
        <v>2</v>
      </c>
      <c r="V11" t="n">
        <v>11.2</v>
      </c>
      <c r="W11" t="n">
        <v>9.800000000000001</v>
      </c>
      <c r="X11" s="8" t="n">
        <v>2.35</v>
      </c>
      <c r="Y11" t="inlineStr">
        <is>
          <t>Green</t>
        </is>
      </c>
    </row>
    <row r="12">
      <c r="A12" s="5" t="inlineStr">
        <is>
          <t>18 Allerton St, Quincy, MA 02169</t>
        </is>
      </c>
      <c r="B12" t="inlineStr">
        <is>
          <t>Quincy</t>
        </is>
      </c>
      <c r="C12" s="6" t="inlineStr">
        <is>
          <t>https://www.redfin.com/MA/Quincy/18-Allerton-St-02169/home/110011603</t>
        </is>
      </c>
      <c r="D12" s="7" t="n"/>
      <c r="E12" s="3" t="n">
        <v>200000</v>
      </c>
      <c r="F12" s="3" t="n">
        <v>0</v>
      </c>
      <c r="I12" s="4" t="n"/>
      <c r="J12" t="inlineStr">
        <is>
          <t>No</t>
        </is>
      </c>
      <c r="K12" t="inlineStr">
        <is>
          <t>Unknown</t>
        </is>
      </c>
      <c r="L12" s="3">
        <f>Assumptions!B3</f>
        <v/>
      </c>
      <c r="M12" s="3">
        <f>E12-L12</f>
        <v/>
      </c>
      <c r="N12" s="3">
        <f>-PMT(Assumptions!B2/12,Assumptions!B4*12,M12)</f>
        <v/>
      </c>
      <c r="O12" s="3">
        <f>E12*Assumptions!B5/12</f>
        <v/>
      </c>
      <c r="P12" s="3">
        <f>Assumptions!B6</f>
        <v/>
      </c>
      <c r="Q12" s="3">
        <f>Assumptions!B7+Assumptions!B8</f>
        <v/>
      </c>
      <c r="R12" s="3">
        <f>N12+F12+O12+P12+Q12</f>
        <v/>
      </c>
      <c r="S12" s="3" t="n">
        <v>0</v>
      </c>
      <c r="T12" s="3">
        <f>R12-S12*MAX(IFERROR(G12-1,0),0)</f>
        <v/>
      </c>
      <c r="U12" t="n">
        <v>8.4</v>
      </c>
      <c r="V12" t="n">
        <v>23.3</v>
      </c>
      <c r="W12" t="n">
        <v>27.4</v>
      </c>
      <c r="X12" s="8" t="n">
        <v>2.3</v>
      </c>
      <c r="Y12" t="inlineStr">
        <is>
          <t>Green</t>
        </is>
      </c>
    </row>
    <row r="13">
      <c r="A13" s="5" t="inlineStr">
        <is>
          <t>10 Scottfield Rd #2, Allston, MA 02134</t>
        </is>
      </c>
      <c r="B13" t="inlineStr">
        <is>
          <t>Allston</t>
        </is>
      </c>
      <c r="C13" s="6" t="inlineStr">
        <is>
          <t>https://www.redfin.com/MA/Allston/10-Scottfield-Rd-02134/unit-2/home/9000250</t>
        </is>
      </c>
      <c r="D13" s="7" t="n"/>
      <c r="E13" s="3" t="n">
        <v>474900</v>
      </c>
      <c r="F13" s="3" t="n">
        <v>408</v>
      </c>
      <c r="G13" t="n">
        <v>2</v>
      </c>
      <c r="H13" t="n">
        <v>1</v>
      </c>
      <c r="I13" s="4" t="n">
        <v>746</v>
      </c>
      <c r="J13" t="inlineStr">
        <is>
          <t>No</t>
        </is>
      </c>
      <c r="K13" t="inlineStr">
        <is>
          <t>0 spaces</t>
        </is>
      </c>
      <c r="L13" s="3">
        <f>Assumptions!B3</f>
        <v/>
      </c>
      <c r="M13" s="3">
        <f>E13-L13</f>
        <v/>
      </c>
      <c r="N13" s="3">
        <f>-PMT(Assumptions!B2/12,Assumptions!B4*12,M13)</f>
        <v/>
      </c>
      <c r="O13" s="3">
        <f>E13*Assumptions!B5/12</f>
        <v/>
      </c>
      <c r="P13" s="3">
        <f>Assumptions!B6</f>
        <v/>
      </c>
      <c r="Q13" s="3">
        <f>Assumptions!B7+Assumptions!B8</f>
        <v/>
      </c>
      <c r="R13" s="3">
        <f>N13+F13+O13+P13+Q13</f>
        <v/>
      </c>
      <c r="S13" s="3" t="n">
        <v>1235</v>
      </c>
      <c r="T13" s="3">
        <f>R13-S13*MAX(IFERROR(G13-1,0),0)</f>
        <v/>
      </c>
      <c r="U13" t="n">
        <v>2</v>
      </c>
      <c r="V13" t="n">
        <v>12.2</v>
      </c>
      <c r="W13" t="n">
        <v>11.8</v>
      </c>
      <c r="X13" s="8" t="n">
        <v>2.3</v>
      </c>
      <c r="Y13" t="inlineStr">
        <is>
          <t>Green</t>
        </is>
      </c>
    </row>
    <row r="14">
      <c r="A14" s="9" t="inlineStr">
        <is>
          <t>199 Prospect St Unit A1, Cambridge, MA 02139</t>
        </is>
      </c>
      <c r="B14" t="inlineStr">
        <is>
          <t>Cambridge</t>
        </is>
      </c>
      <c r="C14" s="6" t="inlineStr">
        <is>
          <t>https://www.redfin.com/MA/Cambridge/199-Prospect-St-02139/unit-A1/home/110093910</t>
        </is>
      </c>
      <c r="D14" s="7" t="n"/>
      <c r="E14" s="3" t="n">
        <v>399999</v>
      </c>
      <c r="F14" s="3" t="n">
        <v>183</v>
      </c>
      <c r="G14" t="n">
        <v>0</v>
      </c>
      <c r="H14" t="n">
        <v>1</v>
      </c>
      <c r="I14" s="4" t="n">
        <v>389</v>
      </c>
      <c r="J14" t="inlineStr">
        <is>
          <t>No</t>
        </is>
      </c>
      <c r="K14" t="inlineStr">
        <is>
          <t>0 spaces</t>
        </is>
      </c>
      <c r="L14" s="3">
        <f>Assumptions!B3</f>
        <v/>
      </c>
      <c r="M14" s="3">
        <f>E14-L14</f>
        <v/>
      </c>
      <c r="N14" s="3">
        <f>-PMT(Assumptions!B2/12,Assumptions!B4*12,M14)</f>
        <v/>
      </c>
      <c r="O14" s="3">
        <f>E14*Assumptions!B5/12</f>
        <v/>
      </c>
      <c r="P14" s="3">
        <f>Assumptions!B6</f>
        <v/>
      </c>
      <c r="Q14" s="3">
        <f>Assumptions!B7+Assumptions!B8</f>
        <v/>
      </c>
      <c r="R14" s="3">
        <f>N14+F14+O14+P14+Q14</f>
        <v/>
      </c>
      <c r="S14" s="3" t="n">
        <v>0</v>
      </c>
      <c r="T14" s="3">
        <f>R14-S14*MAX(IFERROR(G14-1,0),0)</f>
        <v/>
      </c>
      <c r="U14" t="n">
        <v>2.4</v>
      </c>
      <c r="V14" t="n">
        <v>11.2</v>
      </c>
      <c r="W14" t="n">
        <v>4.1</v>
      </c>
      <c r="X14" s="8" t="n">
        <v>2.3</v>
      </c>
      <c r="Y14" t="inlineStr">
        <is>
          <t>Yellow</t>
        </is>
      </c>
    </row>
    <row r="15">
      <c r="A15" s="5" t="inlineStr">
        <is>
          <t>239 Kelton St #11, Allston, MA 02134</t>
        </is>
      </c>
      <c r="B15" t="inlineStr">
        <is>
          <t>Allston</t>
        </is>
      </c>
      <c r="C15" s="6" t="inlineStr">
        <is>
          <t>https://www.redfin.com/MA/Allston/239-Kelton-St-02134/unit-11/home/9000947</t>
        </is>
      </c>
      <c r="D15" s="7" t="n"/>
      <c r="E15" s="3" t="n">
        <v>465000</v>
      </c>
      <c r="F15" s="3" t="n">
        <v>400</v>
      </c>
      <c r="G15" t="n">
        <v>2</v>
      </c>
      <c r="H15" t="n">
        <v>1</v>
      </c>
      <c r="I15" s="4" t="n">
        <v>690</v>
      </c>
      <c r="J15" t="inlineStr">
        <is>
          <t>No</t>
        </is>
      </c>
      <c r="K15" t="inlineStr">
        <is>
          <t>1 space</t>
        </is>
      </c>
      <c r="L15" s="3">
        <f>Assumptions!B3</f>
        <v/>
      </c>
      <c r="M15" s="3">
        <f>E15-L15</f>
        <v/>
      </c>
      <c r="N15" s="3">
        <f>-PMT(Assumptions!B2/12,Assumptions!B4*12,M15)</f>
        <v/>
      </c>
      <c r="O15" s="3">
        <f>E15*Assumptions!B5/12</f>
        <v/>
      </c>
      <c r="P15" s="3">
        <f>Assumptions!B6</f>
        <v/>
      </c>
      <c r="Q15" s="3">
        <f>Assumptions!B7+Assumptions!B8</f>
        <v/>
      </c>
      <c r="R15" s="3">
        <f>N15+F15+O15+P15+Q15</f>
        <v/>
      </c>
      <c r="S15" s="3" t="n">
        <v>1235</v>
      </c>
      <c r="T15" s="3">
        <f>R15-S15*MAX(IFERROR(G15-1,0),0)</f>
        <v/>
      </c>
      <c r="U15" t="n">
        <v>2.6</v>
      </c>
      <c r="V15" t="n">
        <v>12.9</v>
      </c>
      <c r="W15" t="n">
        <v>12.5</v>
      </c>
      <c r="X15" s="8" t="n">
        <v>2.3</v>
      </c>
      <c r="Y15" t="inlineStr">
        <is>
          <t>Green</t>
        </is>
      </c>
    </row>
    <row r="16">
      <c r="A16" s="5" t="inlineStr">
        <is>
          <t>84 Grant St #7, Somerville, MA 02145</t>
        </is>
      </c>
      <c r="B16" t="inlineStr">
        <is>
          <t>Somerville</t>
        </is>
      </c>
      <c r="C16" s="6" t="inlineStr">
        <is>
          <t>https://www.redfin.com/MA/Somerville/84-Grant-St-02145/unit-7/home/11650236</t>
        </is>
      </c>
      <c r="D16" s="7" t="n"/>
      <c r="E16" s="3" t="n">
        <v>469000</v>
      </c>
      <c r="F16" s="3" t="n">
        <v>439</v>
      </c>
      <c r="G16" t="n">
        <v>2</v>
      </c>
      <c r="H16" t="n">
        <v>1</v>
      </c>
      <c r="I16" s="4" t="n">
        <v>835</v>
      </c>
      <c r="J16" t="inlineStr">
        <is>
          <t>No</t>
        </is>
      </c>
      <c r="K16" t="inlineStr">
        <is>
          <t>1 space</t>
        </is>
      </c>
      <c r="L16" s="3">
        <f>Assumptions!B3</f>
        <v/>
      </c>
      <c r="M16" s="3">
        <f>E16-L16</f>
        <v/>
      </c>
      <c r="N16" s="3">
        <f>-PMT(Assumptions!B2/12,Assumptions!B4*12,M16)</f>
        <v/>
      </c>
      <c r="O16" s="3">
        <f>E16*Assumptions!B5/12</f>
        <v/>
      </c>
      <c r="P16" s="3">
        <f>Assumptions!B6</f>
        <v/>
      </c>
      <c r="Q16" s="3">
        <f>Assumptions!B7+Assumptions!B8</f>
        <v/>
      </c>
      <c r="R16" s="3">
        <f>N16+F16+O16+P16+Q16</f>
        <v/>
      </c>
      <c r="S16" s="3" t="n">
        <v>1495</v>
      </c>
      <c r="T16" s="3">
        <f>R16-S16*MAX(IFERROR(G16-1,0),0)</f>
        <v/>
      </c>
      <c r="U16" t="n">
        <v>3.2</v>
      </c>
      <c r="V16" t="n">
        <v>8.199999999999999</v>
      </c>
      <c r="W16" t="n">
        <v>6.8</v>
      </c>
      <c r="X16" s="8" t="n">
        <v>2.3</v>
      </c>
      <c r="Y16" t="inlineStr">
        <is>
          <t>Green</t>
        </is>
      </c>
    </row>
    <row r="17">
      <c r="A17" s="9" t="inlineStr">
        <is>
          <t>186 Lexington St #8, Watertown, MA 02472</t>
        </is>
      </c>
      <c r="B17" t="inlineStr">
        <is>
          <t>Watertown</t>
        </is>
      </c>
      <c r="C17" s="6" t="inlineStr">
        <is>
          <t>https://www.redfin.com/MA/Watertown/186-Lexington-St-02472/unit-8/home/11690422</t>
        </is>
      </c>
      <c r="D17" s="7" t="n"/>
      <c r="E17" s="3" t="n">
        <v>394900</v>
      </c>
      <c r="F17" s="3" t="n">
        <v>350</v>
      </c>
      <c r="G17" t="n">
        <v>2</v>
      </c>
      <c r="H17" t="n">
        <v>1</v>
      </c>
      <c r="I17" s="4" t="n">
        <v>600</v>
      </c>
      <c r="J17" t="inlineStr">
        <is>
          <t>No</t>
        </is>
      </c>
      <c r="K17" t="inlineStr">
        <is>
          <t>1 space</t>
        </is>
      </c>
      <c r="L17" s="3">
        <f>Assumptions!B3</f>
        <v/>
      </c>
      <c r="M17" s="3">
        <f>E17-L17</f>
        <v/>
      </c>
      <c r="N17" s="3">
        <f>-PMT(Assumptions!B2/12,Assumptions!B4*12,M17)</f>
        <v/>
      </c>
      <c r="O17" s="3">
        <f>E17*Assumptions!B5/12</f>
        <v/>
      </c>
      <c r="P17" s="3">
        <f>Assumptions!B6</f>
        <v/>
      </c>
      <c r="Q17" s="3">
        <f>Assumptions!B7+Assumptions!B8</f>
        <v/>
      </c>
      <c r="R17" s="3">
        <f>N17+F17+O17+P17+Q17</f>
        <v/>
      </c>
      <c r="S17" s="3" t="n">
        <v>1365</v>
      </c>
      <c r="T17" s="3">
        <f>R17-S17*MAX(IFERROR(G17-1,0),0)</f>
        <v/>
      </c>
      <c r="U17" t="n">
        <v>12.1</v>
      </c>
      <c r="V17" t="n">
        <v>18.5</v>
      </c>
      <c r="W17" t="n">
        <v>17.2</v>
      </c>
      <c r="X17" s="8" t="n">
        <v>2.25</v>
      </c>
      <c r="Y17" t="inlineStr">
        <is>
          <t>Yellow</t>
        </is>
      </c>
    </row>
    <row r="18">
      <c r="A18" s="9" t="inlineStr">
        <is>
          <t>194 Lexington St #1, Watertown, MA 02472</t>
        </is>
      </c>
      <c r="B18" t="inlineStr">
        <is>
          <t>Watertown</t>
        </is>
      </c>
      <c r="C18" s="6" t="inlineStr">
        <is>
          <t>https://www.redfin.com/MA/Watertown/194-Lexington-St-02472/unit-1/home/11690433</t>
        </is>
      </c>
      <c r="D18" s="7" t="n"/>
      <c r="E18" s="3" t="n">
        <v>375000</v>
      </c>
      <c r="F18" s="3" t="n">
        <v>350</v>
      </c>
      <c r="G18" t="n">
        <v>2</v>
      </c>
      <c r="H18" t="n">
        <v>1</v>
      </c>
      <c r="I18" s="4" t="n">
        <v>600</v>
      </c>
      <c r="J18" t="inlineStr">
        <is>
          <t>No</t>
        </is>
      </c>
      <c r="K18" t="inlineStr">
        <is>
          <t>1 space</t>
        </is>
      </c>
      <c r="L18" s="3">
        <f>Assumptions!B3</f>
        <v/>
      </c>
      <c r="M18" s="3">
        <f>E18-L18</f>
        <v/>
      </c>
      <c r="N18" s="3">
        <f>-PMT(Assumptions!B2/12,Assumptions!B4*12,M18)</f>
        <v/>
      </c>
      <c r="O18" s="3">
        <f>E18*Assumptions!B5/12</f>
        <v/>
      </c>
      <c r="P18" s="3">
        <f>Assumptions!B6</f>
        <v/>
      </c>
      <c r="Q18" s="3">
        <f>Assumptions!B7+Assumptions!B8</f>
        <v/>
      </c>
      <c r="R18" s="3">
        <f>N18+F18+O18+P18+Q18</f>
        <v/>
      </c>
      <c r="S18" s="3" t="n">
        <v>1365</v>
      </c>
      <c r="T18" s="3">
        <f>R18-S18*MAX(IFERROR(G18-1,0),0)</f>
        <v/>
      </c>
      <c r="U18" t="n">
        <v>12.4</v>
      </c>
      <c r="V18" t="n">
        <v>18.9</v>
      </c>
      <c r="W18" t="n">
        <v>17</v>
      </c>
      <c r="X18" s="8" t="n">
        <v>2.25</v>
      </c>
      <c r="Y18" t="inlineStr">
        <is>
          <t>Yellow</t>
        </is>
      </c>
    </row>
    <row r="19">
      <c r="A19" s="9" t="inlineStr">
        <is>
          <t>133 Warren St #3, Watertown, MA 02472</t>
        </is>
      </c>
      <c r="B19" t="inlineStr">
        <is>
          <t>Watertown</t>
        </is>
      </c>
      <c r="C19" s="6" t="inlineStr">
        <is>
          <t>https://www.redfin.com/MA/Watertown/133-Warren-St-02472/unit-3/home/11690534</t>
        </is>
      </c>
      <c r="D19" s="7" t="n"/>
      <c r="E19" s="3" t="n">
        <v>375000</v>
      </c>
      <c r="F19" s="3" t="n">
        <v>350</v>
      </c>
      <c r="G19" t="n">
        <v>2</v>
      </c>
      <c r="H19" t="n">
        <v>1</v>
      </c>
      <c r="I19" s="4" t="n">
        <v>600</v>
      </c>
      <c r="J19" t="inlineStr">
        <is>
          <t>No</t>
        </is>
      </c>
      <c r="K19" t="inlineStr">
        <is>
          <t>2 spaces</t>
        </is>
      </c>
      <c r="L19" s="3">
        <f>Assumptions!B3</f>
        <v/>
      </c>
      <c r="M19" s="3">
        <f>E19-L19</f>
        <v/>
      </c>
      <c r="N19" s="3">
        <f>-PMT(Assumptions!B2/12,Assumptions!B4*12,M19)</f>
        <v/>
      </c>
      <c r="O19" s="3">
        <f>E19*Assumptions!B5/12</f>
        <v/>
      </c>
      <c r="P19" s="3">
        <f>Assumptions!B6</f>
        <v/>
      </c>
      <c r="Q19" s="3">
        <f>Assumptions!B7+Assumptions!B8</f>
        <v/>
      </c>
      <c r="R19" s="3">
        <f>N19+F19+O19+P19+Q19</f>
        <v/>
      </c>
      <c r="S19" s="3" t="n">
        <v>1365</v>
      </c>
      <c r="T19" s="3">
        <f>R19-S19*MAX(IFERROR(G19-1,0),0)</f>
        <v/>
      </c>
      <c r="U19" t="n">
        <v>12.3</v>
      </c>
      <c r="V19" t="n">
        <v>18.7</v>
      </c>
      <c r="W19" t="n">
        <v>17.3</v>
      </c>
      <c r="X19" s="8" t="n">
        <v>2.25</v>
      </c>
      <c r="Y19" t="inlineStr">
        <is>
          <t>Yellow</t>
        </is>
      </c>
    </row>
    <row r="20">
      <c r="A20" s="9" t="inlineStr">
        <is>
          <t>12 Gaston St, Medford, MA 02155</t>
        </is>
      </c>
      <c r="B20" t="inlineStr">
        <is>
          <t>Medford</t>
        </is>
      </c>
      <c r="C20" s="6" t="inlineStr">
        <is>
          <t>https://www.redfin.com/MA/Medford/12-Gaston-St-02155/home/11778344</t>
        </is>
      </c>
      <c r="D20" s="7" t="n"/>
      <c r="E20" s="3" t="n">
        <v>375000</v>
      </c>
      <c r="F20" s="3" t="n">
        <v>0</v>
      </c>
      <c r="I20" s="4" t="n"/>
      <c r="J20" t="inlineStr">
        <is>
          <t>No</t>
        </is>
      </c>
      <c r="K20" t="inlineStr">
        <is>
          <t>Unknown</t>
        </is>
      </c>
      <c r="L20" s="3">
        <f>Assumptions!B3</f>
        <v/>
      </c>
      <c r="M20" s="3">
        <f>E20-L20</f>
        <v/>
      </c>
      <c r="N20" s="3">
        <f>-PMT(Assumptions!B2/12,Assumptions!B4*12,M20)</f>
        <v/>
      </c>
      <c r="O20" s="3">
        <f>E20*Assumptions!B5/12</f>
        <v/>
      </c>
      <c r="P20" s="3">
        <f>Assumptions!B6</f>
        <v/>
      </c>
      <c r="Q20" s="3">
        <f>Assumptions!B7+Assumptions!B8</f>
        <v/>
      </c>
      <c r="R20" s="3">
        <f>N20+F20+O20+P20+Q20</f>
        <v/>
      </c>
      <c r="S20" s="3" t="n">
        <v>0</v>
      </c>
      <c r="T20" s="3">
        <f>R20-S20*MAX(IFERROR(G20-1,0),0)</f>
        <v/>
      </c>
      <c r="U20" t="n">
        <v>5.4</v>
      </c>
      <c r="V20" t="n">
        <v>12.3</v>
      </c>
      <c r="W20" t="n">
        <v>12.5</v>
      </c>
      <c r="X20" s="8" t="n">
        <v>2.25</v>
      </c>
      <c r="Y20" t="inlineStr">
        <is>
          <t>Yellow</t>
        </is>
      </c>
    </row>
    <row r="21">
      <c r="A21" s="9" t="inlineStr">
        <is>
          <t>77 Forest St, Watertown, MA 02472</t>
        </is>
      </c>
      <c r="B21" t="inlineStr">
        <is>
          <t>Watertown</t>
        </is>
      </c>
      <c r="C21" s="6" t="inlineStr">
        <is>
          <t>https://www.redfin.com/MA/Watertown/77-Forest-St-02472/home/195635313</t>
        </is>
      </c>
      <c r="D21" s="7" t="n"/>
      <c r="E21" s="3" t="n">
        <v>299500</v>
      </c>
      <c r="F21" s="3" t="n">
        <v>0</v>
      </c>
      <c r="G21" t="n">
        <v>1</v>
      </c>
      <c r="H21" t="n">
        <v>1.5</v>
      </c>
      <c r="I21" s="4" t="n">
        <v>1040</v>
      </c>
      <c r="J21" t="inlineStr">
        <is>
          <t>No</t>
        </is>
      </c>
      <c r="K21" t="inlineStr">
        <is>
          <t>0 spaces</t>
        </is>
      </c>
      <c r="L21" s="3">
        <f>Assumptions!B3</f>
        <v/>
      </c>
      <c r="M21" s="3">
        <f>E21-L21</f>
        <v/>
      </c>
      <c r="N21" s="3">
        <f>-PMT(Assumptions!B2/12,Assumptions!B4*12,M21)</f>
        <v/>
      </c>
      <c r="O21" s="3">
        <f>E21*Assumptions!B5/12</f>
        <v/>
      </c>
      <c r="P21" s="3">
        <f>Assumptions!B6</f>
        <v/>
      </c>
      <c r="Q21" s="3">
        <f>Assumptions!B7+Assumptions!B8</f>
        <v/>
      </c>
      <c r="R21" s="3">
        <f>N21+F21+O21+P21+Q21</f>
        <v/>
      </c>
      <c r="S21" s="3" t="n">
        <v>0</v>
      </c>
      <c r="T21" s="3">
        <f>R21-S21*MAX(IFERROR(G21-1,0),0)</f>
        <v/>
      </c>
      <c r="U21" t="n">
        <v>10.9</v>
      </c>
      <c r="V21" t="n">
        <v>17.3</v>
      </c>
      <c r="W21" t="n">
        <v>17.1</v>
      </c>
      <c r="X21" s="8" t="n">
        <v>2.25</v>
      </c>
      <c r="Y21" t="inlineStr">
        <is>
          <t>Yellow</t>
        </is>
      </c>
    </row>
    <row r="22">
      <c r="A22" s="9" t="inlineStr">
        <is>
          <t>69A Strathmore St Unit 69A, Boston, MA 02135</t>
        </is>
      </c>
      <c r="B22" t="inlineStr">
        <is>
          <t>Brighton</t>
        </is>
      </c>
      <c r="C22" s="6" t="inlineStr">
        <is>
          <t>https://www.redfin.com/MA/Boston/69-Strathmore-Rd-02135/unit-69A/home/200893159</t>
        </is>
      </c>
      <c r="D22" s="7" t="n"/>
      <c r="E22" s="3" t="n">
        <v>489000</v>
      </c>
      <c r="F22" s="3" t="n">
        <v>373</v>
      </c>
      <c r="G22" t="n">
        <v>2</v>
      </c>
      <c r="H22" t="n">
        <v>1</v>
      </c>
      <c r="I22" s="4" t="n">
        <v>638</v>
      </c>
      <c r="J22" t="inlineStr">
        <is>
          <t>No</t>
        </is>
      </c>
      <c r="K22" t="inlineStr">
        <is>
          <t>0 spaces</t>
        </is>
      </c>
      <c r="L22" s="3">
        <f>Assumptions!B3</f>
        <v/>
      </c>
      <c r="M22" s="3">
        <f>E22-L22</f>
        <v/>
      </c>
      <c r="N22" s="3">
        <f>-PMT(Assumptions!B2/12,Assumptions!B4*12,M22)</f>
        <v/>
      </c>
      <c r="O22" s="3">
        <f>E22*Assumptions!B5/12</f>
        <v/>
      </c>
      <c r="P22" s="3">
        <f>Assumptions!B6</f>
        <v/>
      </c>
      <c r="Q22" s="3">
        <f>Assumptions!B7+Assumptions!B8</f>
        <v/>
      </c>
      <c r="R22" s="3">
        <f>N22+F22+O22+P22+Q22</f>
        <v/>
      </c>
      <c r="S22" s="3" t="n">
        <v>1300</v>
      </c>
      <c r="T22" s="3">
        <f>R22-S22*MAX(IFERROR(G22-1,0),0)</f>
        <v/>
      </c>
      <c r="U22" t="n">
        <v>0.6</v>
      </c>
      <c r="V22" t="n">
        <v>16</v>
      </c>
      <c r="W22" t="n">
        <v>13.4</v>
      </c>
      <c r="X22" s="8" t="n">
        <v>2.25</v>
      </c>
      <c r="Y22" t="inlineStr">
        <is>
          <t>Yellow</t>
        </is>
      </c>
    </row>
    <row r="23">
      <c r="A23" s="9" t="inlineStr">
        <is>
          <t>185 Chestnut Hill Ave #3, Brighton, MA 02135</t>
        </is>
      </c>
      <c r="B23" t="inlineStr">
        <is>
          <t>Brighton</t>
        </is>
      </c>
      <c r="C23" s="6" t="inlineStr">
        <is>
          <t>https://www.redfin.com/MA/Brighton/185-Chestnut-Hill-Ave-02135/unit-3/home/9036757</t>
        </is>
      </c>
      <c r="D23" s="7" t="n"/>
      <c r="E23" s="3" t="n">
        <v>395000</v>
      </c>
      <c r="F23" s="3" t="n">
        <v>442</v>
      </c>
      <c r="G23" t="n">
        <v>2</v>
      </c>
      <c r="H23" t="n">
        <v>1</v>
      </c>
      <c r="I23" s="4" t="n">
        <v>623</v>
      </c>
      <c r="J23" t="inlineStr">
        <is>
          <t>No</t>
        </is>
      </c>
      <c r="K23" t="inlineStr">
        <is>
          <t>0 spaces</t>
        </is>
      </c>
      <c r="L23" s="3">
        <f>Assumptions!B3</f>
        <v/>
      </c>
      <c r="M23" s="3">
        <f>E23-L23</f>
        <v/>
      </c>
      <c r="N23" s="3">
        <f>-PMT(Assumptions!B2/12,Assumptions!B4*12,M23)</f>
        <v/>
      </c>
      <c r="O23" s="3">
        <f>E23*Assumptions!B5/12</f>
        <v/>
      </c>
      <c r="P23" s="3">
        <f>Assumptions!B6</f>
        <v/>
      </c>
      <c r="Q23" s="3">
        <f>Assumptions!B7+Assumptions!B8</f>
        <v/>
      </c>
      <c r="R23" s="3">
        <f>N23+F23+O23+P23+Q23</f>
        <v/>
      </c>
      <c r="S23" s="3" t="n">
        <v>1300</v>
      </c>
      <c r="T23" s="3">
        <f>R23-S23*MAX(IFERROR(G23-1,0),0)</f>
        <v/>
      </c>
      <c r="U23" t="n">
        <v>2.7</v>
      </c>
      <c r="V23" t="n">
        <v>15.7</v>
      </c>
      <c r="W23" t="n">
        <v>15.4</v>
      </c>
      <c r="X23" s="8" t="n">
        <v>2.25</v>
      </c>
      <c r="Y23" t="inlineStr">
        <is>
          <t>Yellow</t>
        </is>
      </c>
    </row>
    <row r="24">
      <c r="A24" s="9" t="inlineStr">
        <is>
          <t>82 Medford St #2, Malden, MA 02148</t>
        </is>
      </c>
      <c r="B24" t="inlineStr">
        <is>
          <t>Malden</t>
        </is>
      </c>
      <c r="C24" s="6" t="inlineStr">
        <is>
          <t>https://www.redfin.com/MA/Malden/82-Medford-St-02148/unit-2/home/11431345</t>
        </is>
      </c>
      <c r="D24" s="7" t="inlineStr">
        <is>
          <t>2026-03-04</t>
        </is>
      </c>
      <c r="E24" s="3" t="n">
        <v>549990</v>
      </c>
      <c r="F24" s="3" t="n">
        <v>207</v>
      </c>
      <c r="G24" t="n">
        <v>3</v>
      </c>
      <c r="H24" t="n">
        <v>1.5</v>
      </c>
      <c r="I24" s="4" t="n">
        <v>1319</v>
      </c>
      <c r="J24" t="inlineStr">
        <is>
          <t>No</t>
        </is>
      </c>
      <c r="K24" t="inlineStr">
        <is>
          <t>3 spaces</t>
        </is>
      </c>
      <c r="L24" s="3">
        <f>Assumptions!B3</f>
        <v/>
      </c>
      <c r="M24" s="3">
        <f>E24-L24</f>
        <v/>
      </c>
      <c r="N24" s="3">
        <f>-PMT(Assumptions!B2/12,Assumptions!B4*12,M24)</f>
        <v/>
      </c>
      <c r="O24" s="3">
        <f>E24*Assumptions!B5/12</f>
        <v/>
      </c>
      <c r="P24" s="3">
        <f>Assumptions!B6</f>
        <v/>
      </c>
      <c r="Q24" s="3">
        <f>Assumptions!B7+Assumptions!B8</f>
        <v/>
      </c>
      <c r="R24" s="3">
        <f>N24+F24+O24+P24+Q24</f>
        <v/>
      </c>
      <c r="S24" s="3" t="n">
        <v>1202</v>
      </c>
      <c r="T24" s="3">
        <f>R24-S24*MAX(IFERROR(G24-1,0),0)</f>
        <v/>
      </c>
      <c r="U24" t="n">
        <v>2.3</v>
      </c>
      <c r="V24" t="n">
        <v>12</v>
      </c>
      <c r="W24" t="n">
        <v>10.2</v>
      </c>
      <c r="X24" s="8" t="n">
        <v>2.25</v>
      </c>
      <c r="Y24" t="inlineStr">
        <is>
          <t>Yellow</t>
        </is>
      </c>
    </row>
    <row r="25">
      <c r="A25" s="9" t="inlineStr">
        <is>
          <t>45 Gordon St #4, Allston, MA 02134</t>
        </is>
      </c>
      <c r="B25" t="inlineStr">
        <is>
          <t>Allston</t>
        </is>
      </c>
      <c r="C25" s="6" t="inlineStr">
        <is>
          <t>https://www.redfin.com/MA/Allston/45-Gordon-St-02134/unit-4/home/8999903</t>
        </is>
      </c>
      <c r="D25" s="7" t="n"/>
      <c r="E25" s="3" t="n">
        <v>489000</v>
      </c>
      <c r="F25" s="3" t="n">
        <v>350</v>
      </c>
      <c r="G25" t="n">
        <v>2</v>
      </c>
      <c r="H25" t="n">
        <v>1</v>
      </c>
      <c r="I25" s="4" t="n">
        <v>675</v>
      </c>
      <c r="J25" t="inlineStr">
        <is>
          <t>No</t>
        </is>
      </c>
      <c r="K25" t="inlineStr">
        <is>
          <t>0 spaces</t>
        </is>
      </c>
      <c r="L25" s="3">
        <f>Assumptions!B3</f>
        <v/>
      </c>
      <c r="M25" s="3">
        <f>E25-L25</f>
        <v/>
      </c>
      <c r="N25" s="3">
        <f>-PMT(Assumptions!B2/12,Assumptions!B4*12,M25)</f>
        <v/>
      </c>
      <c r="O25" s="3">
        <f>E25*Assumptions!B5/12</f>
        <v/>
      </c>
      <c r="P25" s="3">
        <f>Assumptions!B6</f>
        <v/>
      </c>
      <c r="Q25" s="3">
        <f>Assumptions!B7+Assumptions!B8</f>
        <v/>
      </c>
      <c r="R25" s="3">
        <f>N25+F25+O25+P25+Q25</f>
        <v/>
      </c>
      <c r="S25" s="3" t="n">
        <v>1235</v>
      </c>
      <c r="T25" s="3">
        <f>R25-S25*MAX(IFERROR(G25-1,0),0)</f>
        <v/>
      </c>
      <c r="U25" t="n">
        <v>3</v>
      </c>
      <c r="V25" t="n">
        <v>11.3</v>
      </c>
      <c r="W25" t="n">
        <v>10.9</v>
      </c>
      <c r="X25" s="8" t="n">
        <v>2.2</v>
      </c>
      <c r="Y25" t="inlineStr">
        <is>
          <t>Yellow</t>
        </is>
      </c>
    </row>
    <row r="26">
      <c r="A26" s="9" t="inlineStr">
        <is>
          <t>12-14 Shannon St #3, Brighton, MA 02135</t>
        </is>
      </c>
      <c r="B26" t="inlineStr">
        <is>
          <t>Brighton</t>
        </is>
      </c>
      <c r="C26" s="6" t="inlineStr">
        <is>
          <t>https://www.redfin.com/MA/Brighton/12-14-Shannon-St-02135/unit-3/home/11838033</t>
        </is>
      </c>
      <c r="D26" s="7" t="n"/>
      <c r="E26" s="3" t="n">
        <v>599000</v>
      </c>
      <c r="F26" s="3" t="n">
        <v>280</v>
      </c>
      <c r="G26" t="n">
        <v>3</v>
      </c>
      <c r="H26" t="n">
        <v>1</v>
      </c>
      <c r="I26" s="4" t="n">
        <v>908</v>
      </c>
      <c r="J26" t="inlineStr">
        <is>
          <t>No</t>
        </is>
      </c>
      <c r="K26" t="inlineStr">
        <is>
          <t>3 spaces</t>
        </is>
      </c>
      <c r="L26" s="3">
        <f>Assumptions!B3</f>
        <v/>
      </c>
      <c r="M26" s="3">
        <f>E26-L26</f>
        <v/>
      </c>
      <c r="N26" s="3">
        <f>-PMT(Assumptions!B2/12,Assumptions!B4*12,M26)</f>
        <v/>
      </c>
      <c r="O26" s="3">
        <f>E26*Assumptions!B5/12</f>
        <v/>
      </c>
      <c r="P26" s="3">
        <f>Assumptions!B6</f>
        <v/>
      </c>
      <c r="Q26" s="3">
        <f>Assumptions!B7+Assumptions!B8</f>
        <v/>
      </c>
      <c r="R26" s="3">
        <f>N26+F26+O26+P26+Q26</f>
        <v/>
      </c>
      <c r="S26" s="3" t="n">
        <v>1300</v>
      </c>
      <c r="T26" s="3">
        <f>R26-S26*MAX(IFERROR(G26-1,0),0)</f>
        <v/>
      </c>
      <c r="U26" t="n">
        <v>1.9</v>
      </c>
      <c r="V26" t="n">
        <v>13.6</v>
      </c>
      <c r="W26" t="n">
        <v>13.2</v>
      </c>
      <c r="X26" s="8" t="n">
        <v>2.2</v>
      </c>
      <c r="Y26" t="inlineStr">
        <is>
          <t>Yellow</t>
        </is>
      </c>
    </row>
    <row r="27">
      <c r="A27" s="9" t="inlineStr">
        <is>
          <t>102 Grant Unit B, Somerville, MA 02145</t>
        </is>
      </c>
      <c r="B27" t="inlineStr">
        <is>
          <t>Somerville</t>
        </is>
      </c>
      <c r="C27" s="6" t="inlineStr">
        <is>
          <t>https://www.redfin.com/MA/Somerville/102-Grant-St-02145/unit-B/home/196668060</t>
        </is>
      </c>
      <c r="D27" s="7" t="n"/>
      <c r="E27" s="3" t="n">
        <v>599000</v>
      </c>
      <c r="F27" s="3" t="n">
        <v>200</v>
      </c>
      <c r="G27" t="n">
        <v>2</v>
      </c>
      <c r="H27" t="n">
        <v>1</v>
      </c>
      <c r="I27" s="4" t="n">
        <v>1162</v>
      </c>
      <c r="J27" t="inlineStr">
        <is>
          <t>No</t>
        </is>
      </c>
      <c r="K27" t="inlineStr">
        <is>
          <t>0 spaces</t>
        </is>
      </c>
      <c r="L27" s="3">
        <f>Assumptions!B3</f>
        <v/>
      </c>
      <c r="M27" s="3">
        <f>E27-L27</f>
        <v/>
      </c>
      <c r="N27" s="3">
        <f>-PMT(Assumptions!B2/12,Assumptions!B4*12,M27)</f>
        <v/>
      </c>
      <c r="O27" s="3">
        <f>E27*Assumptions!B5/12</f>
        <v/>
      </c>
      <c r="P27" s="3">
        <f>Assumptions!B6</f>
        <v/>
      </c>
      <c r="Q27" s="3">
        <f>Assumptions!B7+Assumptions!B8</f>
        <v/>
      </c>
      <c r="R27" s="3">
        <f>N27+F27+O27+P27+Q27</f>
        <v/>
      </c>
      <c r="S27" s="3" t="n">
        <v>1495</v>
      </c>
      <c r="T27" s="3">
        <f>R27-S27*MAX(IFERROR(G27-1,0),0)</f>
        <v/>
      </c>
      <c r="U27" t="n">
        <v>3.7</v>
      </c>
      <c r="V27" t="n">
        <v>7.9</v>
      </c>
      <c r="W27" t="n">
        <v>6.5</v>
      </c>
      <c r="X27" s="8" t="n">
        <v>2.2</v>
      </c>
      <c r="Y27" t="inlineStr">
        <is>
          <t>Yellow</t>
        </is>
      </c>
    </row>
    <row r="28">
      <c r="A28" s="9" t="inlineStr">
        <is>
          <t>195 Thomas Burgin Pkwy #301, Quincy, MA 02169</t>
        </is>
      </c>
      <c r="B28" t="inlineStr">
        <is>
          <t>Quincy</t>
        </is>
      </c>
      <c r="C28" s="6" t="inlineStr">
        <is>
          <t>https://www.redfin.com/MA/Quincy/195-Thomas-Burgin-Pkwy-02169/unit-301/home/8931809</t>
        </is>
      </c>
      <c r="D28" s="7" t="n"/>
      <c r="E28" s="3" t="n">
        <v>250000</v>
      </c>
      <c r="F28" s="3" t="n">
        <v>393</v>
      </c>
      <c r="G28" t="n">
        <v>1</v>
      </c>
      <c r="H28" t="n">
        <v>1</v>
      </c>
      <c r="I28" s="4" t="n">
        <v>447</v>
      </c>
      <c r="J28" t="inlineStr">
        <is>
          <t>No</t>
        </is>
      </c>
      <c r="K28" t="inlineStr">
        <is>
          <t>0 spaces</t>
        </is>
      </c>
      <c r="L28" s="3">
        <f>Assumptions!B3</f>
        <v/>
      </c>
      <c r="M28" s="3">
        <f>E28-L28</f>
        <v/>
      </c>
      <c r="N28" s="3">
        <f>-PMT(Assumptions!B2/12,Assumptions!B4*12,M28)</f>
        <v/>
      </c>
      <c r="O28" s="3">
        <f>E28*Assumptions!B5/12</f>
        <v/>
      </c>
      <c r="P28" s="3">
        <f>Assumptions!B6</f>
        <v/>
      </c>
      <c r="Q28" s="3">
        <f>Assumptions!B7+Assumptions!B8</f>
        <v/>
      </c>
      <c r="R28" s="3">
        <f>N28+F28+O28+P28+Q28</f>
        <v/>
      </c>
      <c r="S28" s="3" t="n">
        <v>0</v>
      </c>
      <c r="T28" s="3">
        <f>R28-S28*MAX(IFERROR(G28-1,0),0)</f>
        <v/>
      </c>
      <c r="U28" t="n">
        <v>2.2</v>
      </c>
      <c r="V28" t="n">
        <v>17.6</v>
      </c>
      <c r="W28" t="n">
        <v>21.7</v>
      </c>
      <c r="X28" s="8" t="n">
        <v>2.15</v>
      </c>
      <c r="Y28" t="inlineStr">
        <is>
          <t>Yellow</t>
        </is>
      </c>
    </row>
    <row r="29">
      <c r="A29" s="9" t="inlineStr">
        <is>
          <t>10 Naviens Ln #1, Waltham, MA 02453</t>
        </is>
      </c>
      <c r="B29" t="inlineStr">
        <is>
          <t>Waltham</t>
        </is>
      </c>
      <c r="C29" s="6" t="inlineStr">
        <is>
          <t>https://www.redfin.com/MA/Waltham/10-Naviens-Ln-02453/unit-1/home/76478882</t>
        </is>
      </c>
      <c r="D29" s="7" t="n"/>
      <c r="E29" s="3" t="n">
        <v>499900</v>
      </c>
      <c r="F29" s="3" t="n">
        <v>134</v>
      </c>
      <c r="G29" t="n">
        <v>2</v>
      </c>
      <c r="H29" t="n">
        <v>1</v>
      </c>
      <c r="I29" s="4" t="n">
        <v>1008</v>
      </c>
      <c r="J29" t="inlineStr">
        <is>
          <t>No</t>
        </is>
      </c>
      <c r="K29" t="inlineStr">
        <is>
          <t>2 spaces</t>
        </is>
      </c>
      <c r="L29" s="3">
        <f>Assumptions!B3</f>
        <v/>
      </c>
      <c r="M29" s="3">
        <f>E29-L29</f>
        <v/>
      </c>
      <c r="N29" s="3">
        <f>-PMT(Assumptions!B2/12,Assumptions!B4*12,M29)</f>
        <v/>
      </c>
      <c r="O29" s="3">
        <f>E29*Assumptions!B5/12</f>
        <v/>
      </c>
      <c r="P29" s="3">
        <f>Assumptions!B6</f>
        <v/>
      </c>
      <c r="Q29" s="3">
        <f>Assumptions!B7+Assumptions!B8</f>
        <v/>
      </c>
      <c r="R29" s="3">
        <f>N29+F29+O29+P29+Q29</f>
        <v/>
      </c>
      <c r="S29" s="3" t="n">
        <v>1235</v>
      </c>
      <c r="T29" s="3">
        <f>R29-S29*MAX(IFERROR(G29-1,0),0)</f>
        <v/>
      </c>
      <c r="U29" t="n">
        <v>10.9</v>
      </c>
      <c r="V29" t="n">
        <v>19.2</v>
      </c>
      <c r="W29" t="n">
        <v>19.7</v>
      </c>
      <c r="X29" s="8" t="n">
        <v>2.15</v>
      </c>
      <c r="Y29" t="inlineStr">
        <is>
          <t>Yellow</t>
        </is>
      </c>
    </row>
    <row r="30">
      <c r="A30" s="9" t="inlineStr">
        <is>
          <t>66 Bryon Rd #2, Chestnut Hill, MA 02467</t>
        </is>
      </c>
      <c r="B30" t="inlineStr">
        <is>
          <t>Newton</t>
        </is>
      </c>
      <c r="C30" s="6" t="inlineStr">
        <is>
          <t>https://www.redfin.com/MA/Chestnut-Hill/66-Bryon-Rd-02467/unit-2/home/9204203</t>
        </is>
      </c>
      <c r="D30" s="7" t="n"/>
      <c r="E30" s="3" t="n">
        <v>385000</v>
      </c>
      <c r="F30" s="3" t="n">
        <v>422</v>
      </c>
      <c r="G30" t="n">
        <v>2</v>
      </c>
      <c r="H30" t="n">
        <v>1</v>
      </c>
      <c r="I30" s="4" t="n">
        <v>780</v>
      </c>
      <c r="J30" t="inlineStr">
        <is>
          <t>No</t>
        </is>
      </c>
      <c r="K30" t="inlineStr">
        <is>
          <t>2 spaces</t>
        </is>
      </c>
      <c r="L30" s="3">
        <f>Assumptions!B3</f>
        <v/>
      </c>
      <c r="M30" s="3">
        <f>E30-L30</f>
        <v/>
      </c>
      <c r="N30" s="3">
        <f>-PMT(Assumptions!B2/12,Assumptions!B4*12,M30)</f>
        <v/>
      </c>
      <c r="O30" s="3">
        <f>E30*Assumptions!B5/12</f>
        <v/>
      </c>
      <c r="P30" s="3">
        <f>Assumptions!B6</f>
        <v/>
      </c>
      <c r="Q30" s="3">
        <f>Assumptions!B7+Assumptions!B8</f>
        <v/>
      </c>
      <c r="R30" s="3">
        <f>N30+F30+O30+P30+Q30</f>
        <v/>
      </c>
      <c r="S30" s="3" t="n">
        <v>1430</v>
      </c>
      <c r="T30" s="3">
        <f>R30-S30*MAX(IFERROR(G30-1,0),0)</f>
        <v/>
      </c>
      <c r="U30" t="n">
        <v>5.9</v>
      </c>
      <c r="V30" t="n">
        <v>22.9</v>
      </c>
      <c r="W30" t="n">
        <v>21.4</v>
      </c>
      <c r="X30" s="8" t="n">
        <v>2.15</v>
      </c>
      <c r="Y30" t="inlineStr">
        <is>
          <t>Yellow</t>
        </is>
      </c>
    </row>
    <row r="31">
      <c r="A31" s="9" t="inlineStr">
        <is>
          <t>5 Braemore Rd #10, Brighton, MA 02135</t>
        </is>
      </c>
      <c r="B31" t="inlineStr">
        <is>
          <t>Brighton</t>
        </is>
      </c>
      <c r="C31" s="6" t="inlineStr">
        <is>
          <t>https://www.redfin.com/MA/Brighton/5-Braemore-Rd-02135/unit-10/home/9308549</t>
        </is>
      </c>
      <c r="D31" s="7" t="n"/>
      <c r="E31" s="3" t="n">
        <v>315000</v>
      </c>
      <c r="F31" s="3" t="n">
        <v>352</v>
      </c>
      <c r="G31" t="n">
        <v>1</v>
      </c>
      <c r="H31" t="n">
        <v>1</v>
      </c>
      <c r="I31" s="4" t="n">
        <v>385</v>
      </c>
      <c r="J31" t="inlineStr">
        <is>
          <t>No</t>
        </is>
      </c>
      <c r="K31" t="inlineStr">
        <is>
          <t>0 spaces</t>
        </is>
      </c>
      <c r="L31" s="3">
        <f>Assumptions!B3</f>
        <v/>
      </c>
      <c r="M31" s="3">
        <f>E31-L31</f>
        <v/>
      </c>
      <c r="N31" s="3">
        <f>-PMT(Assumptions!B2/12,Assumptions!B4*12,M31)</f>
        <v/>
      </c>
      <c r="O31" s="3">
        <f>E31*Assumptions!B5/12</f>
        <v/>
      </c>
      <c r="P31" s="3">
        <f>Assumptions!B6</f>
        <v/>
      </c>
      <c r="Q31" s="3">
        <f>Assumptions!B7+Assumptions!B8</f>
        <v/>
      </c>
      <c r="R31" s="3">
        <f>N31+F31+O31+P31+Q31</f>
        <v/>
      </c>
      <c r="S31" s="3" t="n">
        <v>0</v>
      </c>
      <c r="T31" s="3">
        <f>R31-S31*MAX(IFERROR(G31-1,0),0)</f>
        <v/>
      </c>
      <c r="U31" t="n">
        <v>1.7</v>
      </c>
      <c r="V31" t="n">
        <v>15.9</v>
      </c>
      <c r="W31" t="n">
        <v>14.1</v>
      </c>
      <c r="X31" s="8" t="n">
        <v>2.15</v>
      </c>
      <c r="Y31" t="inlineStr">
        <is>
          <t>Yellow</t>
        </is>
      </c>
    </row>
    <row r="32">
      <c r="A32" s="9" t="inlineStr">
        <is>
          <t>64 Bryon Rd #1, Chestnut Hill, MA 02467</t>
        </is>
      </c>
      <c r="B32" t="inlineStr">
        <is>
          <t>Newton</t>
        </is>
      </c>
      <c r="C32" s="6" t="inlineStr">
        <is>
          <t>https://www.redfin.com/MA/Chestnut-Hill/64-Bryon-Rd-02467/unit-1/home/9204182</t>
        </is>
      </c>
      <c r="D32" s="7" t="n"/>
      <c r="E32" s="3" t="n">
        <v>399000</v>
      </c>
      <c r="F32" s="3" t="n">
        <v>422</v>
      </c>
      <c r="G32" t="n">
        <v>2</v>
      </c>
      <c r="H32" t="n">
        <v>1</v>
      </c>
      <c r="I32" s="4" t="n">
        <v>780</v>
      </c>
      <c r="J32" t="inlineStr">
        <is>
          <t>No</t>
        </is>
      </c>
      <c r="K32" t="inlineStr">
        <is>
          <t>2 spaces</t>
        </is>
      </c>
      <c r="L32" s="3">
        <f>Assumptions!B3</f>
        <v/>
      </c>
      <c r="M32" s="3">
        <f>E32-L32</f>
        <v/>
      </c>
      <c r="N32" s="3">
        <f>-PMT(Assumptions!B2/12,Assumptions!B4*12,M32)</f>
        <v/>
      </c>
      <c r="O32" s="3">
        <f>E32*Assumptions!B5/12</f>
        <v/>
      </c>
      <c r="P32" s="3">
        <f>Assumptions!B6</f>
        <v/>
      </c>
      <c r="Q32" s="3">
        <f>Assumptions!B7+Assumptions!B8</f>
        <v/>
      </c>
      <c r="R32" s="3">
        <f>N32+F32+O32+P32+Q32</f>
        <v/>
      </c>
      <c r="S32" s="3" t="n">
        <v>1430</v>
      </c>
      <c r="T32" s="3">
        <f>R32-S32*MAX(IFERROR(G32-1,0),0)</f>
        <v/>
      </c>
      <c r="U32" t="n">
        <v>5.8</v>
      </c>
      <c r="V32" t="n">
        <v>22.9</v>
      </c>
      <c r="W32" t="n">
        <v>21.4</v>
      </c>
      <c r="X32" s="8" t="n">
        <v>2.15</v>
      </c>
      <c r="Y32" t="inlineStr">
        <is>
          <t>Yellow</t>
        </is>
      </c>
    </row>
    <row r="33">
      <c r="A33" s="9" t="inlineStr">
        <is>
          <t>1641 Commonwealth Ave #16, Brighton, MA 02135</t>
        </is>
      </c>
      <c r="B33" t="inlineStr">
        <is>
          <t>Brighton</t>
        </is>
      </c>
      <c r="C33" s="6" t="inlineStr">
        <is>
          <t>https://www.redfin.com/MA/Brighton/1641-Commonwealth-Ave-02135/unit-16/home/9002891</t>
        </is>
      </c>
      <c r="D33" s="7" t="inlineStr">
        <is>
          <t>2026-04-08</t>
        </is>
      </c>
      <c r="E33" s="3" t="n">
        <v>349000</v>
      </c>
      <c r="F33" s="3" t="n">
        <v>399</v>
      </c>
      <c r="G33" t="n">
        <v>1</v>
      </c>
      <c r="H33" t="n">
        <v>1</v>
      </c>
      <c r="I33" s="4" t="n">
        <v>407</v>
      </c>
      <c r="J33" t="inlineStr">
        <is>
          <t>No</t>
        </is>
      </c>
      <c r="K33" t="inlineStr">
        <is>
          <t>0 spaces</t>
        </is>
      </c>
      <c r="L33" s="3">
        <f>Assumptions!B3</f>
        <v/>
      </c>
      <c r="M33" s="3">
        <f>E33-L33</f>
        <v/>
      </c>
      <c r="N33" s="3">
        <f>-PMT(Assumptions!B2/12,Assumptions!B4*12,M33)</f>
        <v/>
      </c>
      <c r="O33" s="3">
        <f>E33*Assumptions!B5/12</f>
        <v/>
      </c>
      <c r="P33" s="3">
        <f>Assumptions!B6</f>
        <v/>
      </c>
      <c r="Q33" s="3">
        <f>Assumptions!B7+Assumptions!B8</f>
        <v/>
      </c>
      <c r="R33" s="3">
        <f>N33+F33+O33+P33+Q33</f>
        <v/>
      </c>
      <c r="S33" s="3" t="n">
        <v>0</v>
      </c>
      <c r="T33" s="3">
        <f>R33-S33*MAX(IFERROR(G33-1,0),0)</f>
        <v/>
      </c>
      <c r="U33" t="n">
        <v>0.4</v>
      </c>
      <c r="V33" t="n">
        <v>15</v>
      </c>
      <c r="W33" t="n">
        <v>14.6</v>
      </c>
      <c r="X33" s="8" t="n">
        <v>2.15</v>
      </c>
      <c r="Y33" t="inlineStr">
        <is>
          <t>Yellow</t>
        </is>
      </c>
    </row>
    <row r="34">
      <c r="A34" s="9" t="inlineStr">
        <is>
          <t>1568 Commonwealth Ave #12, Brighton, MA 02135</t>
        </is>
      </c>
      <c r="B34" t="inlineStr">
        <is>
          <t>Brighton</t>
        </is>
      </c>
      <c r="C34" s="6" t="inlineStr">
        <is>
          <t>https://www.redfin.com/MA/Brighton/1568-Commonwealth-Ave-02135/unit-12/home/9017105</t>
        </is>
      </c>
      <c r="D34" s="7" t="inlineStr">
        <is>
          <t>2026-04-09</t>
        </is>
      </c>
      <c r="E34" s="3" t="n">
        <v>314900</v>
      </c>
      <c r="F34" s="3" t="n">
        <v>369</v>
      </c>
      <c r="G34" t="n">
        <v>1</v>
      </c>
      <c r="H34" t="n">
        <v>1</v>
      </c>
      <c r="I34" s="4" t="n">
        <v>306</v>
      </c>
      <c r="J34" t="inlineStr">
        <is>
          <t>No</t>
        </is>
      </c>
      <c r="K34" t="inlineStr">
        <is>
          <t>0 spaces</t>
        </is>
      </c>
      <c r="L34" s="3">
        <f>Assumptions!B3</f>
        <v/>
      </c>
      <c r="M34" s="3">
        <f>E34-L34</f>
        <v/>
      </c>
      <c r="N34" s="3">
        <f>-PMT(Assumptions!B2/12,Assumptions!B4*12,M34)</f>
        <v/>
      </c>
      <c r="O34" s="3">
        <f>E34*Assumptions!B5/12</f>
        <v/>
      </c>
      <c r="P34" s="3">
        <f>Assumptions!B6</f>
        <v/>
      </c>
      <c r="Q34" s="3">
        <f>Assumptions!B7+Assumptions!B8</f>
        <v/>
      </c>
      <c r="R34" s="3">
        <f>N34+F34+O34+P34+Q34</f>
        <v/>
      </c>
      <c r="S34" s="3" t="n">
        <v>0</v>
      </c>
      <c r="T34" s="3">
        <f>R34-S34*MAX(IFERROR(G34-1,0),0)</f>
        <v/>
      </c>
      <c r="U34" t="n">
        <v>1.2</v>
      </c>
      <c r="V34" t="n">
        <v>13.7</v>
      </c>
      <c r="W34" t="n">
        <v>13.3</v>
      </c>
      <c r="X34" s="8" t="n">
        <v>2.15</v>
      </c>
      <c r="Y34" t="inlineStr">
        <is>
          <t>Yellow</t>
        </is>
      </c>
    </row>
    <row r="35">
      <c r="A35" s="9" t="inlineStr">
        <is>
          <t>10 Scottfield Rd #34, Allston, MA 02134</t>
        </is>
      </c>
      <c r="B35" t="inlineStr">
        <is>
          <t>Allston</t>
        </is>
      </c>
      <c r="C35" s="6" t="inlineStr">
        <is>
          <t>https://www.redfin.com/MA/Allston/10-Scottfield-Rd-02134/unit-34/home/9000321</t>
        </is>
      </c>
      <c r="D35" s="7" t="inlineStr">
        <is>
          <t>2026-04-08</t>
        </is>
      </c>
      <c r="E35" s="3" t="n">
        <v>499000</v>
      </c>
      <c r="F35" s="3" t="n">
        <v>408</v>
      </c>
      <c r="G35" t="n">
        <v>2</v>
      </c>
      <c r="H35" t="n">
        <v>1</v>
      </c>
      <c r="I35" s="4" t="n">
        <v>746</v>
      </c>
      <c r="J35" t="inlineStr">
        <is>
          <t>No</t>
        </is>
      </c>
      <c r="K35" t="inlineStr">
        <is>
          <t>1 space</t>
        </is>
      </c>
      <c r="L35" s="3">
        <f>Assumptions!B3</f>
        <v/>
      </c>
      <c r="M35" s="3">
        <f>E35-L35</f>
        <v/>
      </c>
      <c r="N35" s="3">
        <f>-PMT(Assumptions!B2/12,Assumptions!B4*12,M35)</f>
        <v/>
      </c>
      <c r="O35" s="3">
        <f>E35*Assumptions!B5/12</f>
        <v/>
      </c>
      <c r="P35" s="3">
        <f>Assumptions!B6</f>
        <v/>
      </c>
      <c r="Q35" s="3">
        <f>Assumptions!B7+Assumptions!B8</f>
        <v/>
      </c>
      <c r="R35" s="3">
        <f>N35+F35+O35+P35+Q35</f>
        <v/>
      </c>
      <c r="S35" s="3" t="n">
        <v>1235</v>
      </c>
      <c r="T35" s="3">
        <f>R35-S35*MAX(IFERROR(G35-1,0),0)</f>
        <v/>
      </c>
      <c r="U35" t="n">
        <v>2</v>
      </c>
      <c r="V35" t="n">
        <v>12.2</v>
      </c>
      <c r="W35" t="n">
        <v>11.8</v>
      </c>
      <c r="X35" s="8" t="n">
        <v>2.15</v>
      </c>
      <c r="Y35" t="inlineStr">
        <is>
          <t>Yellow</t>
        </is>
      </c>
    </row>
    <row r="36">
      <c r="A36" s="9" t="inlineStr">
        <is>
          <t>239 Kelton St #41, Allston, MA 02134</t>
        </is>
      </c>
      <c r="B36" t="inlineStr">
        <is>
          <t>Allston</t>
        </is>
      </c>
      <c r="C36" s="6" t="inlineStr">
        <is>
          <t>https://www.redfin.com/MA/Allston/239-Kelton-St-02134/unit-41/home/9001010</t>
        </is>
      </c>
      <c r="D36" s="7" t="n"/>
      <c r="E36" s="3" t="n">
        <v>475000</v>
      </c>
      <c r="F36" s="3" t="n">
        <v>497</v>
      </c>
      <c r="G36" t="n">
        <v>2</v>
      </c>
      <c r="H36" t="n">
        <v>1</v>
      </c>
      <c r="I36" s="4" t="n">
        <v>690</v>
      </c>
      <c r="J36" t="inlineStr">
        <is>
          <t>No</t>
        </is>
      </c>
      <c r="K36" t="inlineStr">
        <is>
          <t>0 spaces</t>
        </is>
      </c>
      <c r="L36" s="3">
        <f>Assumptions!B3</f>
        <v/>
      </c>
      <c r="M36" s="3">
        <f>E36-L36</f>
        <v/>
      </c>
      <c r="N36" s="3">
        <f>-PMT(Assumptions!B2/12,Assumptions!B4*12,M36)</f>
        <v/>
      </c>
      <c r="O36" s="3">
        <f>E36*Assumptions!B5/12</f>
        <v/>
      </c>
      <c r="P36" s="3">
        <f>Assumptions!B6</f>
        <v/>
      </c>
      <c r="Q36" s="3">
        <f>Assumptions!B7+Assumptions!B8</f>
        <v/>
      </c>
      <c r="R36" s="3">
        <f>N36+F36+O36+P36+Q36</f>
        <v/>
      </c>
      <c r="S36" s="3" t="n">
        <v>1235</v>
      </c>
      <c r="T36" s="3">
        <f>R36-S36*MAX(IFERROR(G36-1,0),0)</f>
        <v/>
      </c>
      <c r="U36" t="n">
        <v>2.6</v>
      </c>
      <c r="V36" t="n">
        <v>12.9</v>
      </c>
      <c r="W36" t="n">
        <v>12.5</v>
      </c>
      <c r="X36" s="8" t="n">
        <v>2.1</v>
      </c>
      <c r="Y36" t="inlineStr">
        <is>
          <t>Yellow</t>
        </is>
      </c>
    </row>
    <row r="37">
      <c r="A37" s="9" t="inlineStr">
        <is>
          <t>34 Channing St #2, Newton, MA 02458</t>
        </is>
      </c>
      <c r="B37" t="inlineStr">
        <is>
          <t>Newton</t>
        </is>
      </c>
      <c r="C37" s="6" t="inlineStr">
        <is>
          <t>https://www.redfin.com/MA/Newton/34-Channing-St-02458/unit-2/home/196688205</t>
        </is>
      </c>
      <c r="D37" s="7" t="n"/>
      <c r="E37" s="3" t="n">
        <v>598000</v>
      </c>
      <c r="F37" s="3" t="n">
        <v>237</v>
      </c>
      <c r="G37" t="n">
        <v>3</v>
      </c>
      <c r="H37" t="n">
        <v>1</v>
      </c>
      <c r="I37" s="4" t="n">
        <v>1387</v>
      </c>
      <c r="J37" t="inlineStr">
        <is>
          <t>No</t>
        </is>
      </c>
      <c r="K37" t="inlineStr">
        <is>
          <t>1 space</t>
        </is>
      </c>
      <c r="L37" s="3">
        <f>Assumptions!B3</f>
        <v/>
      </c>
      <c r="M37" s="3">
        <f>E37-L37</f>
        <v/>
      </c>
      <c r="N37" s="3">
        <f>-PMT(Assumptions!B2/12,Assumptions!B4*12,M37)</f>
        <v/>
      </c>
      <c r="O37" s="3">
        <f>E37*Assumptions!B5/12</f>
        <v/>
      </c>
      <c r="P37" s="3">
        <f>Assumptions!B6</f>
        <v/>
      </c>
      <c r="Q37" s="3">
        <f>Assumptions!B7+Assumptions!B8</f>
        <v/>
      </c>
      <c r="R37" s="3">
        <f>N37+F37+O37+P37+Q37</f>
        <v/>
      </c>
      <c r="S37" s="3" t="n">
        <v>1430</v>
      </c>
      <c r="T37" s="3">
        <f>R37-S37*MAX(IFERROR(G37-1,0),0)</f>
        <v/>
      </c>
      <c r="U37" t="n">
        <v>8</v>
      </c>
      <c r="V37" t="n">
        <v>14.3</v>
      </c>
      <c r="W37" t="n">
        <v>14.9</v>
      </c>
      <c r="X37" s="8" t="n">
        <v>2.1</v>
      </c>
      <c r="Y37" t="inlineStr">
        <is>
          <t>Yellow</t>
        </is>
      </c>
    </row>
    <row r="38">
      <c r="A38" s="9" t="inlineStr">
        <is>
          <t>57 Brighton Ave #6, Allston, MA 02134</t>
        </is>
      </c>
      <c r="B38" t="inlineStr">
        <is>
          <t>Allston</t>
        </is>
      </c>
      <c r="C38" s="6" t="inlineStr">
        <is>
          <t>https://www.redfin.com/MA/Allston/57-Brighton-Ave-02134/unit-6/home/8991939</t>
        </is>
      </c>
      <c r="D38" s="7" t="n"/>
      <c r="E38" s="3" t="n">
        <v>429000</v>
      </c>
      <c r="F38" s="3" t="n">
        <v>0</v>
      </c>
      <c r="G38" t="n">
        <v>1</v>
      </c>
      <c r="H38" t="n">
        <v>1</v>
      </c>
      <c r="I38" s="4" t="n">
        <v>620</v>
      </c>
      <c r="J38" t="inlineStr">
        <is>
          <t>No</t>
        </is>
      </c>
      <c r="K38" t="inlineStr">
        <is>
          <t>Unknown</t>
        </is>
      </c>
      <c r="L38" s="3">
        <f>Assumptions!B3</f>
        <v/>
      </c>
      <c r="M38" s="3">
        <f>E38-L38</f>
        <v/>
      </c>
      <c r="N38" s="3">
        <f>-PMT(Assumptions!B2/12,Assumptions!B4*12,M38)</f>
        <v/>
      </c>
      <c r="O38" s="3">
        <f>E38*Assumptions!B5/12</f>
        <v/>
      </c>
      <c r="P38" s="3">
        <f>Assumptions!B6</f>
        <v/>
      </c>
      <c r="Q38" s="3">
        <f>Assumptions!B7+Assumptions!B8</f>
        <v/>
      </c>
      <c r="R38" s="3">
        <f>N38+F38+O38+P38+Q38</f>
        <v/>
      </c>
      <c r="S38" s="3" t="n">
        <v>0</v>
      </c>
      <c r="T38" s="3">
        <f>R38-S38*MAX(IFERROR(G38-1,0),0)</f>
        <v/>
      </c>
      <c r="U38" t="n">
        <v>2.2</v>
      </c>
      <c r="V38" t="n">
        <v>10.6</v>
      </c>
      <c r="W38" t="n">
        <v>10.3</v>
      </c>
      <c r="X38" s="8" t="n">
        <v>2.1</v>
      </c>
      <c r="Y38" t="inlineStr">
        <is>
          <t>Yellow</t>
        </is>
      </c>
    </row>
    <row r="39">
      <c r="A39" s="9" t="inlineStr">
        <is>
          <t>297 Main St #3, Medford, MA 02155</t>
        </is>
      </c>
      <c r="B39" t="inlineStr">
        <is>
          <t>Medford</t>
        </is>
      </c>
      <c r="C39" s="6" t="inlineStr">
        <is>
          <t>https://www.redfin.com/MA/Medford/297-Main-St-02155/unit-3/home/11796231</t>
        </is>
      </c>
      <c r="D39" s="7" t="n"/>
      <c r="E39" s="3" t="n">
        <v>368000</v>
      </c>
      <c r="F39" s="3" t="n">
        <v>324</v>
      </c>
      <c r="G39" t="n">
        <v>1</v>
      </c>
      <c r="H39" t="n">
        <v>1</v>
      </c>
      <c r="I39" s="4" t="n">
        <v>596</v>
      </c>
      <c r="J39" t="inlineStr">
        <is>
          <t>No</t>
        </is>
      </c>
      <c r="K39" t="inlineStr">
        <is>
          <t>1 space</t>
        </is>
      </c>
      <c r="L39" s="3">
        <f>Assumptions!B3</f>
        <v/>
      </c>
      <c r="M39" s="3">
        <f>E39-L39</f>
        <v/>
      </c>
      <c r="N39" s="3">
        <f>-PMT(Assumptions!B2/12,Assumptions!B4*12,M39)</f>
        <v/>
      </c>
      <c r="O39" s="3">
        <f>E39*Assumptions!B5/12</f>
        <v/>
      </c>
      <c r="P39" s="3">
        <f>Assumptions!B6</f>
        <v/>
      </c>
      <c r="Q39" s="3">
        <f>Assumptions!B7+Assumptions!B8</f>
        <v/>
      </c>
      <c r="R39" s="3">
        <f>N39+F39+O39+P39+Q39</f>
        <v/>
      </c>
      <c r="S39" s="3" t="n">
        <v>0</v>
      </c>
      <c r="T39" s="3">
        <f>R39-S39*MAX(IFERROR(G39-1,0),0)</f>
        <v/>
      </c>
      <c r="U39" t="n">
        <v>1.8</v>
      </c>
      <c r="V39" t="n">
        <v>11</v>
      </c>
      <c r="W39" t="n">
        <v>9.6</v>
      </c>
      <c r="X39" s="8" t="n">
        <v>2.1</v>
      </c>
      <c r="Y39" t="inlineStr">
        <is>
          <t>Yellow</t>
        </is>
      </c>
    </row>
    <row r="40">
      <c r="A40" s="9" t="inlineStr">
        <is>
          <t>, Boston, MA 02135</t>
        </is>
      </c>
      <c r="B40" t="inlineStr">
        <is>
          <t>Brighton</t>
        </is>
      </c>
      <c r="C40" s="6" t="inlineStr">
        <is>
          <t>https://www.redfin.com/MA/Brighton/Undisclosed-address-02135/home/9013888</t>
        </is>
      </c>
      <c r="D40" s="7" t="n"/>
      <c r="E40" s="3" t="n">
        <v>469000</v>
      </c>
      <c r="F40" s="3" t="n">
        <v>0</v>
      </c>
      <c r="G40" t="n">
        <v>1</v>
      </c>
      <c r="H40" t="n">
        <v>1</v>
      </c>
      <c r="I40" s="4" t="n">
        <v>560</v>
      </c>
      <c r="J40" t="inlineStr">
        <is>
          <t>No</t>
        </is>
      </c>
      <c r="K40" t="inlineStr">
        <is>
          <t>Unknown</t>
        </is>
      </c>
      <c r="L40" s="3">
        <f>Assumptions!B3</f>
        <v/>
      </c>
      <c r="M40" s="3">
        <f>E40-L40</f>
        <v/>
      </c>
      <c r="N40" s="3">
        <f>-PMT(Assumptions!B2/12,Assumptions!B4*12,M40)</f>
        <v/>
      </c>
      <c r="O40" s="3">
        <f>E40*Assumptions!B5/12</f>
        <v/>
      </c>
      <c r="P40" s="3">
        <f>Assumptions!B6</f>
        <v/>
      </c>
      <c r="Q40" s="3">
        <f>Assumptions!B7+Assumptions!B8</f>
        <v/>
      </c>
      <c r="R40" s="3">
        <f>N40+F40+O40+P40+Q40</f>
        <v/>
      </c>
      <c r="S40" s="3" t="n">
        <v>0</v>
      </c>
      <c r="T40" s="3">
        <f>R40-S40*MAX(IFERROR(G40-1,0),0)</f>
        <v/>
      </c>
      <c r="U40" t="n">
        <v>0.7</v>
      </c>
      <c r="V40" t="n">
        <v>12.8</v>
      </c>
      <c r="W40" t="n">
        <v>12.5</v>
      </c>
      <c r="X40" s="8" t="n">
        <v>2.1</v>
      </c>
      <c r="Y40" t="inlineStr">
        <is>
          <t>Yellow</t>
        </is>
      </c>
    </row>
    <row r="41">
      <c r="A41" s="9" t="inlineStr">
        <is>
          <t>32 Sidlaw #6, Brighton, MA 02135</t>
        </is>
      </c>
      <c r="B41" t="inlineStr">
        <is>
          <t>Brighton</t>
        </is>
      </c>
      <c r="C41" s="6" t="inlineStr">
        <is>
          <t>https://www.redfin.com/MA/Brighton/32-Sidlaw-Rd-02135/unit-6/home/9006968</t>
        </is>
      </c>
      <c r="D41" s="7" t="n"/>
      <c r="E41" s="3" t="n">
        <v>335000</v>
      </c>
      <c r="F41" s="3" t="n">
        <v>332</v>
      </c>
      <c r="G41" t="n">
        <v>0</v>
      </c>
      <c r="H41" t="n">
        <v>1</v>
      </c>
      <c r="I41" s="4" t="n">
        <v>346</v>
      </c>
      <c r="J41" t="inlineStr">
        <is>
          <t>No</t>
        </is>
      </c>
      <c r="K41" t="inlineStr">
        <is>
          <t>0 spaces</t>
        </is>
      </c>
      <c r="L41" s="3">
        <f>Assumptions!B3</f>
        <v/>
      </c>
      <c r="M41" s="3">
        <f>E41-L41</f>
        <v/>
      </c>
      <c r="N41" s="3">
        <f>-PMT(Assumptions!B2/12,Assumptions!B4*12,M41)</f>
        <v/>
      </c>
      <c r="O41" s="3">
        <f>E41*Assumptions!B5/12</f>
        <v/>
      </c>
      <c r="P41" s="3">
        <f>Assumptions!B6</f>
        <v/>
      </c>
      <c r="Q41" s="3">
        <f>Assumptions!B7+Assumptions!B8</f>
        <v/>
      </c>
      <c r="R41" s="3">
        <f>N41+F41+O41+P41+Q41</f>
        <v/>
      </c>
      <c r="S41" s="3" t="n">
        <v>0</v>
      </c>
      <c r="T41" s="3">
        <f>R41-S41*MAX(IFERROR(G41-1,0),0)</f>
        <v/>
      </c>
      <c r="U41" t="n">
        <v>1.2</v>
      </c>
      <c r="V41" t="n">
        <v>16.1</v>
      </c>
      <c r="W41" t="n">
        <v>14.5</v>
      </c>
      <c r="X41" s="8" t="n">
        <v>2.05</v>
      </c>
      <c r="Y41" t="inlineStr">
        <is>
          <t>Yellow</t>
        </is>
      </c>
    </row>
    <row r="42">
      <c r="A42" s="9" t="inlineStr">
        <is>
          <t>115 W Squantum St #203, Quincy, MA 02171</t>
        </is>
      </c>
      <c r="B42" t="inlineStr">
        <is>
          <t>Quincy</t>
        </is>
      </c>
      <c r="C42" s="6" t="inlineStr">
        <is>
          <t>https://www.redfin.com/MA/Quincy/115-W-Squantum-St-02171/unit-203/home/11722276</t>
        </is>
      </c>
      <c r="D42" s="7" t="n"/>
      <c r="E42" s="3" t="n">
        <v>390000</v>
      </c>
      <c r="F42" s="3" t="n">
        <v>370</v>
      </c>
      <c r="G42" t="n">
        <v>1</v>
      </c>
      <c r="H42" t="n">
        <v>1</v>
      </c>
      <c r="I42" s="4" t="n">
        <v>765</v>
      </c>
      <c r="J42" t="inlineStr">
        <is>
          <t>No</t>
        </is>
      </c>
      <c r="K42" t="inlineStr">
        <is>
          <t>1 space</t>
        </is>
      </c>
      <c r="L42" s="3">
        <f>Assumptions!B3</f>
        <v/>
      </c>
      <c r="M42" s="3">
        <f>E42-L42</f>
        <v/>
      </c>
      <c r="N42" s="3">
        <f>-PMT(Assumptions!B2/12,Assumptions!B4*12,M42)</f>
        <v/>
      </c>
      <c r="O42" s="3">
        <f>E42*Assumptions!B5/12</f>
        <v/>
      </c>
      <c r="P42" s="3">
        <f>Assumptions!B6</f>
        <v/>
      </c>
      <c r="Q42" s="3">
        <f>Assumptions!B7+Assumptions!B8</f>
        <v/>
      </c>
      <c r="R42" s="3">
        <f>N42+F42+O42+P42+Q42</f>
        <v/>
      </c>
      <c r="S42" s="3" t="n">
        <v>0</v>
      </c>
      <c r="T42" s="3">
        <f>R42-S42*MAX(IFERROR(G42-1,0),0)</f>
        <v/>
      </c>
      <c r="U42" t="n">
        <v>2.6</v>
      </c>
      <c r="V42" t="n">
        <v>13.4</v>
      </c>
      <c r="W42" t="n">
        <v>17.4</v>
      </c>
      <c r="X42" s="8" t="n">
        <v>2.05</v>
      </c>
      <c r="Y42" t="inlineStr">
        <is>
          <t>Yellow</t>
        </is>
      </c>
    </row>
    <row r="43">
      <c r="A43" s="9" t="inlineStr">
        <is>
          <t>17 Radcliffe Rd #10, Allston, MA 02134</t>
        </is>
      </c>
      <c r="B43" t="inlineStr">
        <is>
          <t>Allston</t>
        </is>
      </c>
      <c r="C43" s="6" t="inlineStr">
        <is>
          <t>https://www.redfin.com/MA/Allston/17-Radcliffe-Rd-02134/unit-10/home/11833006</t>
        </is>
      </c>
      <c r="D43" s="7" t="inlineStr">
        <is>
          <t>2026-04-01</t>
        </is>
      </c>
      <c r="E43" s="3" t="n">
        <v>415000</v>
      </c>
      <c r="F43" s="3" t="n">
        <v>399</v>
      </c>
      <c r="G43" t="n">
        <v>1</v>
      </c>
      <c r="H43" t="n">
        <v>1</v>
      </c>
      <c r="I43" s="4" t="n">
        <v>668</v>
      </c>
      <c r="J43" t="inlineStr">
        <is>
          <t>No</t>
        </is>
      </c>
      <c r="K43" t="inlineStr">
        <is>
          <t>0 spaces</t>
        </is>
      </c>
      <c r="L43" s="3">
        <f>Assumptions!B3</f>
        <v/>
      </c>
      <c r="M43" s="3">
        <f>E43-L43</f>
        <v/>
      </c>
      <c r="N43" s="3">
        <f>-PMT(Assumptions!B2/12,Assumptions!B4*12,M43)</f>
        <v/>
      </c>
      <c r="O43" s="3">
        <f>E43*Assumptions!B5/12</f>
        <v/>
      </c>
      <c r="P43" s="3">
        <f>Assumptions!B6</f>
        <v/>
      </c>
      <c r="Q43" s="3">
        <f>Assumptions!B7+Assumptions!B8</f>
        <v/>
      </c>
      <c r="R43" s="3">
        <f>N43+F43+O43+P43+Q43</f>
        <v/>
      </c>
      <c r="S43" s="3" t="n">
        <v>0</v>
      </c>
      <c r="T43" s="3">
        <f>R43-S43*MAX(IFERROR(G43-1,0),0)</f>
        <v/>
      </c>
      <c r="U43" t="n">
        <v>1.9</v>
      </c>
      <c r="V43" t="n">
        <v>11.6</v>
      </c>
      <c r="W43" t="n">
        <v>11.2</v>
      </c>
      <c r="X43" s="8" t="n">
        <v>2.05</v>
      </c>
      <c r="Y43" t="inlineStr">
        <is>
          <t>Yellow</t>
        </is>
      </c>
    </row>
    <row r="44">
      <c r="A44" s="9" t="inlineStr">
        <is>
          <t>95 2nd St #3, Cambridge, MA 02141</t>
        </is>
      </c>
      <c r="B44" t="inlineStr">
        <is>
          <t>Cambridge</t>
        </is>
      </c>
      <c r="C44" s="6" t="inlineStr">
        <is>
          <t>https://www.redfin.com/MA/Cambridge/95-Second-St-02141/unit-3/home/22200369</t>
        </is>
      </c>
      <c r="D44" s="7" t="inlineStr">
        <is>
          <t>2026-04-02</t>
        </is>
      </c>
      <c r="E44" s="3" t="n">
        <v>560000</v>
      </c>
      <c r="F44" s="3" t="n">
        <v>500</v>
      </c>
      <c r="G44" t="n">
        <v>2</v>
      </c>
      <c r="H44" t="n">
        <v>1</v>
      </c>
      <c r="I44" s="4" t="n">
        <v>507</v>
      </c>
      <c r="J44" t="inlineStr">
        <is>
          <t>No</t>
        </is>
      </c>
      <c r="K44" t="inlineStr">
        <is>
          <t>0 spaces</t>
        </is>
      </c>
      <c r="L44" s="3">
        <f>Assumptions!B3</f>
        <v/>
      </c>
      <c r="M44" s="3">
        <f>E44-L44</f>
        <v/>
      </c>
      <c r="N44" s="3">
        <f>-PMT(Assumptions!B2/12,Assumptions!B4*12,M44)</f>
        <v/>
      </c>
      <c r="O44" s="3">
        <f>E44*Assumptions!B5/12</f>
        <v/>
      </c>
      <c r="P44" s="3">
        <f>Assumptions!B6</f>
        <v/>
      </c>
      <c r="Q44" s="3">
        <f>Assumptions!B7+Assumptions!B8</f>
        <v/>
      </c>
      <c r="R44" s="3">
        <f>N44+F44+O44+P44+Q44</f>
        <v/>
      </c>
      <c r="S44" s="3" t="n">
        <v>1625</v>
      </c>
      <c r="T44" s="3">
        <f>R44-S44*MAX(IFERROR(G44-1,0),0)</f>
        <v/>
      </c>
      <c r="U44" t="n">
        <v>1.1</v>
      </c>
      <c r="V44" t="n">
        <v>7.5</v>
      </c>
      <c r="W44" t="n">
        <v>2.1</v>
      </c>
      <c r="X44" s="8" t="n">
        <v>2.05</v>
      </c>
      <c r="Y44" t="inlineStr">
        <is>
          <t>Yellow</t>
        </is>
      </c>
    </row>
    <row r="45">
      <c r="A45" s="9" t="inlineStr">
        <is>
          <t>32 Newman Rd #1, Malden, MA 02148</t>
        </is>
      </c>
      <c r="B45" t="inlineStr">
        <is>
          <t>Malden</t>
        </is>
      </c>
      <c r="C45" s="6" t="inlineStr">
        <is>
          <t>https://www.redfin.com/MA/Malden/32-Newman-Rd-02148/unit-1/home/11391853</t>
        </is>
      </c>
      <c r="D45" s="7" t="inlineStr">
        <is>
          <t>2026-04-09</t>
        </is>
      </c>
      <c r="E45" s="3" t="n">
        <v>325000</v>
      </c>
      <c r="F45" s="3" t="n">
        <v>440</v>
      </c>
      <c r="G45" t="n">
        <v>1</v>
      </c>
      <c r="H45" t="n">
        <v>1</v>
      </c>
      <c r="I45" s="4" t="n">
        <v>441</v>
      </c>
      <c r="J45" t="inlineStr">
        <is>
          <t>No</t>
        </is>
      </c>
      <c r="K45" t="inlineStr">
        <is>
          <t>1 space</t>
        </is>
      </c>
      <c r="L45" s="3">
        <f>Assumptions!B3</f>
        <v/>
      </c>
      <c r="M45" s="3">
        <f>E45-L45</f>
        <v/>
      </c>
      <c r="N45" s="3">
        <f>-PMT(Assumptions!B2/12,Assumptions!B4*12,M45)</f>
        <v/>
      </c>
      <c r="O45" s="3">
        <f>E45*Assumptions!B5/12</f>
        <v/>
      </c>
      <c r="P45" s="3">
        <f>Assumptions!B6</f>
        <v/>
      </c>
      <c r="Q45" s="3">
        <f>Assumptions!B7+Assumptions!B8</f>
        <v/>
      </c>
      <c r="R45" s="3">
        <f>N45+F45+O45+P45+Q45</f>
        <v/>
      </c>
      <c r="S45" s="3" t="n">
        <v>0</v>
      </c>
      <c r="T45" s="3">
        <f>R45-S45*MAX(IFERROR(G45-1,0),0)</f>
        <v/>
      </c>
      <c r="U45" t="n">
        <v>3.1</v>
      </c>
      <c r="V45" t="n">
        <v>12.8</v>
      </c>
      <c r="W45" t="n">
        <v>10.7</v>
      </c>
      <c r="X45" s="8" t="n">
        <v>2.05</v>
      </c>
      <c r="Y45" t="inlineStr">
        <is>
          <t>Yellow</t>
        </is>
      </c>
    </row>
    <row r="46">
      <c r="A46" s="9" t="inlineStr">
        <is>
          <t>80 Main St #9, Malden, MA 02148</t>
        </is>
      </c>
      <c r="B46" t="inlineStr">
        <is>
          <t>Malden</t>
        </is>
      </c>
      <c r="C46" s="6" t="inlineStr">
        <is>
          <t>https://www.redfin.com/MA/Malden/80-Main-St-02148/unit-9/home/11391543</t>
        </is>
      </c>
      <c r="D46" s="7" t="inlineStr">
        <is>
          <t>2026-02-12</t>
        </is>
      </c>
      <c r="E46" s="3" t="n">
        <v>355900</v>
      </c>
      <c r="F46" s="3" t="n">
        <v>426</v>
      </c>
      <c r="G46" t="n">
        <v>1</v>
      </c>
      <c r="H46" t="n">
        <v>1</v>
      </c>
      <c r="I46" s="4" t="n">
        <v>605</v>
      </c>
      <c r="J46" t="inlineStr">
        <is>
          <t>No</t>
        </is>
      </c>
      <c r="K46" t="inlineStr">
        <is>
          <t>1 space</t>
        </is>
      </c>
      <c r="L46" s="3">
        <f>Assumptions!B3</f>
        <v/>
      </c>
      <c r="M46" s="3">
        <f>E46-L46</f>
        <v/>
      </c>
      <c r="N46" s="3">
        <f>-PMT(Assumptions!B2/12,Assumptions!B4*12,M46)</f>
        <v/>
      </c>
      <c r="O46" s="3">
        <f>E46*Assumptions!B5/12</f>
        <v/>
      </c>
      <c r="P46" s="3">
        <f>Assumptions!B6</f>
        <v/>
      </c>
      <c r="Q46" s="3">
        <f>Assumptions!B7+Assumptions!B8</f>
        <v/>
      </c>
      <c r="R46" s="3">
        <f>N46+F46+O46+P46+Q46</f>
        <v/>
      </c>
      <c r="S46" s="3" t="n">
        <v>0</v>
      </c>
      <c r="T46" s="3">
        <f>R46-S46*MAX(IFERROR(G46-1,0),0)</f>
        <v/>
      </c>
      <c r="U46" t="n">
        <v>2.3</v>
      </c>
      <c r="V46" t="n">
        <v>12.4</v>
      </c>
      <c r="W46" t="n">
        <v>10</v>
      </c>
      <c r="X46" s="8" t="n">
        <v>2.05</v>
      </c>
      <c r="Y46" t="inlineStr">
        <is>
          <t>Yellow</t>
        </is>
      </c>
    </row>
    <row r="47">
      <c r="A47" s="9" t="inlineStr">
        <is>
          <t>80 Main St #4, Malden, MA 02148</t>
        </is>
      </c>
      <c r="B47" t="inlineStr">
        <is>
          <t>Malden</t>
        </is>
      </c>
      <c r="C47" s="6" t="inlineStr">
        <is>
          <t>https://www.redfin.com/MA/Malden/80-Main-St-02148/unit-4/home/11391525</t>
        </is>
      </c>
      <c r="D47" s="7" t="inlineStr">
        <is>
          <t>2026-01-20</t>
        </is>
      </c>
      <c r="E47" s="3" t="n">
        <v>335000</v>
      </c>
      <c r="F47" s="3" t="n">
        <v>430</v>
      </c>
      <c r="G47" t="n">
        <v>1</v>
      </c>
      <c r="H47" t="n">
        <v>1</v>
      </c>
      <c r="I47" s="4" t="n">
        <v>578</v>
      </c>
      <c r="J47" t="inlineStr">
        <is>
          <t>No</t>
        </is>
      </c>
      <c r="K47" t="inlineStr">
        <is>
          <t>1 space</t>
        </is>
      </c>
      <c r="L47" s="3">
        <f>Assumptions!B3</f>
        <v/>
      </c>
      <c r="M47" s="3">
        <f>E47-L47</f>
        <v/>
      </c>
      <c r="N47" s="3">
        <f>-PMT(Assumptions!B2/12,Assumptions!B4*12,M47)</f>
        <v/>
      </c>
      <c r="O47" s="3">
        <f>E47*Assumptions!B5/12</f>
        <v/>
      </c>
      <c r="P47" s="3">
        <f>Assumptions!B6</f>
        <v/>
      </c>
      <c r="Q47" s="3">
        <f>Assumptions!B7+Assumptions!B8</f>
        <v/>
      </c>
      <c r="R47" s="3">
        <f>N47+F47+O47+P47+Q47</f>
        <v/>
      </c>
      <c r="S47" s="3" t="n">
        <v>0</v>
      </c>
      <c r="T47" s="3">
        <f>R47-S47*MAX(IFERROR(G47-1,0),0)</f>
        <v/>
      </c>
      <c r="U47" t="n">
        <v>2.3</v>
      </c>
      <c r="V47" t="n">
        <v>12.4</v>
      </c>
      <c r="W47" t="n">
        <v>10</v>
      </c>
      <c r="X47" s="8" t="n">
        <v>2.05</v>
      </c>
      <c r="Y47" t="inlineStr">
        <is>
          <t>Yellow</t>
        </is>
      </c>
    </row>
    <row r="48">
      <c r="A48" s="9" t="inlineStr">
        <is>
          <t>1691 Commonwealth Ave #31, Brighton, MA 02135</t>
        </is>
      </c>
      <c r="B48" t="inlineStr">
        <is>
          <t>Brighton</t>
        </is>
      </c>
      <c r="C48" s="6" t="inlineStr">
        <is>
          <t>https://www.redfin.com/MA/Brighton/1691-Commonwealth-Ave-02135/unit-31/home/9020583</t>
        </is>
      </c>
      <c r="D48" s="7" t="n"/>
      <c r="E48" s="3" t="n">
        <v>414900</v>
      </c>
      <c r="F48" s="3" t="n">
        <v>360</v>
      </c>
      <c r="G48" t="n">
        <v>1</v>
      </c>
      <c r="H48" t="n">
        <v>1</v>
      </c>
      <c r="I48" s="4" t="n">
        <v>520</v>
      </c>
      <c r="J48" t="inlineStr">
        <is>
          <t>No</t>
        </is>
      </c>
      <c r="K48" t="inlineStr">
        <is>
          <t>0 spaces</t>
        </is>
      </c>
      <c r="L48" s="3">
        <f>Assumptions!B3</f>
        <v/>
      </c>
      <c r="M48" s="3">
        <f>E48-L48</f>
        <v/>
      </c>
      <c r="N48" s="3">
        <f>-PMT(Assumptions!B2/12,Assumptions!B4*12,M48)</f>
        <v/>
      </c>
      <c r="O48" s="3">
        <f>E48*Assumptions!B5/12</f>
        <v/>
      </c>
      <c r="P48" s="3">
        <f>Assumptions!B6</f>
        <v/>
      </c>
      <c r="Q48" s="3">
        <f>Assumptions!B7+Assumptions!B8</f>
        <v/>
      </c>
      <c r="R48" s="3">
        <f>N48+F48+O48+P48+Q48</f>
        <v/>
      </c>
      <c r="S48" s="3" t="n">
        <v>0</v>
      </c>
      <c r="T48" s="3">
        <f>R48-S48*MAX(IFERROR(G48-1,0),0)</f>
        <v/>
      </c>
      <c r="U48" t="n">
        <v>1.6</v>
      </c>
      <c r="V48" t="n">
        <v>14.9</v>
      </c>
      <c r="W48" t="n">
        <v>14.5</v>
      </c>
      <c r="X48" s="8" t="n">
        <v>2</v>
      </c>
      <c r="Y48" t="inlineStr">
        <is>
          <t>Yellow</t>
        </is>
      </c>
    </row>
    <row r="49">
      <c r="A49" s="9" t="inlineStr">
        <is>
          <t>191 Washington St, Boston, MA 02135</t>
        </is>
      </c>
      <c r="B49" t="inlineStr">
        <is>
          <t>Brighton</t>
        </is>
      </c>
      <c r="C49" s="6" t="inlineStr">
        <is>
          <t>https://www.redfin.com/MA/Boston/191-Washington-St-02135/home/184088757</t>
        </is>
      </c>
      <c r="D49" s="7" t="n"/>
      <c r="E49" s="3" t="n">
        <v>564800</v>
      </c>
      <c r="F49" s="3" t="n">
        <v>0</v>
      </c>
      <c r="G49" t="n">
        <v>1</v>
      </c>
      <c r="H49" t="n">
        <v>1</v>
      </c>
      <c r="I49" s="4" t="n">
        <v>498</v>
      </c>
      <c r="J49" t="inlineStr">
        <is>
          <t>No</t>
        </is>
      </c>
      <c r="K49" t="inlineStr">
        <is>
          <t>0 spaces</t>
        </is>
      </c>
      <c r="L49" s="3">
        <f>Assumptions!B3</f>
        <v/>
      </c>
      <c r="M49" s="3">
        <f>E49-L49</f>
        <v/>
      </c>
      <c r="N49" s="3">
        <f>-PMT(Assumptions!B2/12,Assumptions!B4*12,M49)</f>
        <v/>
      </c>
      <c r="O49" s="3">
        <f>E49*Assumptions!B5/12</f>
        <v/>
      </c>
      <c r="P49" s="3">
        <f>Assumptions!B6</f>
        <v/>
      </c>
      <c r="Q49" s="3">
        <f>Assumptions!B7+Assumptions!B8</f>
        <v/>
      </c>
      <c r="R49" s="3">
        <f>N49+F49+O49+P49+Q49</f>
        <v/>
      </c>
      <c r="S49" s="3" t="n">
        <v>0</v>
      </c>
      <c r="T49" s="3">
        <f>R49-S49*MAX(IFERROR(G49-1,0),0)</f>
        <v/>
      </c>
      <c r="U49" t="n">
        <v>2.1</v>
      </c>
      <c r="V49" t="n">
        <v>13.6</v>
      </c>
      <c r="W49" t="n">
        <v>13.2</v>
      </c>
      <c r="X49" s="8" t="n">
        <v>2</v>
      </c>
      <c r="Y49" t="inlineStr">
        <is>
          <t>Yellow</t>
        </is>
      </c>
    </row>
    <row r="50">
      <c r="A50" s="9" t="inlineStr">
        <is>
          <t>17 Buckingham St #3, Somerville, MA 02143</t>
        </is>
      </c>
      <c r="B50" t="inlineStr">
        <is>
          <t>Somerville</t>
        </is>
      </c>
      <c r="C50" s="6" t="inlineStr">
        <is>
          <t>https://www.redfin.com/MA/Somerville/17-Buckingham-St-02143/unit-3/home/200344678</t>
        </is>
      </c>
      <c r="D50" s="7" t="n"/>
      <c r="E50" s="3" t="n">
        <v>474999</v>
      </c>
      <c r="F50" s="3" t="n">
        <v>233</v>
      </c>
      <c r="G50" t="n">
        <v>1</v>
      </c>
      <c r="H50" t="n">
        <v>1</v>
      </c>
      <c r="I50" s="4" t="n">
        <v>595</v>
      </c>
      <c r="J50" t="inlineStr">
        <is>
          <t>No</t>
        </is>
      </c>
      <c r="K50" t="inlineStr">
        <is>
          <t>1 space</t>
        </is>
      </c>
      <c r="L50" s="3">
        <f>Assumptions!B3</f>
        <v/>
      </c>
      <c r="M50" s="3">
        <f>E50-L50</f>
        <v/>
      </c>
      <c r="N50" s="3">
        <f>-PMT(Assumptions!B2/12,Assumptions!B4*12,M50)</f>
        <v/>
      </c>
      <c r="O50" s="3">
        <f>E50*Assumptions!B5/12</f>
        <v/>
      </c>
      <c r="P50" s="3">
        <f>Assumptions!B6</f>
        <v/>
      </c>
      <c r="Q50" s="3">
        <f>Assumptions!B7+Assumptions!B8</f>
        <v/>
      </c>
      <c r="R50" s="3">
        <f>N50+F50+O50+P50+Q50</f>
        <v/>
      </c>
      <c r="S50" s="3" t="n">
        <v>0</v>
      </c>
      <c r="T50" s="3">
        <f>R50-S50*MAX(IFERROR(G50-1,0),0)</f>
        <v/>
      </c>
      <c r="U50" t="n">
        <v>3.2</v>
      </c>
      <c r="V50" t="n">
        <v>11.7</v>
      </c>
      <c r="W50" t="n">
        <v>5.9</v>
      </c>
      <c r="X50" s="8" t="n">
        <v>2</v>
      </c>
      <c r="Y50" t="inlineStr">
        <is>
          <t>Yellow</t>
        </is>
      </c>
    </row>
    <row r="51">
      <c r="A51" s="9" t="inlineStr">
        <is>
          <t>367 Somerville Ave Unit G, Somerville, MA 02143</t>
        </is>
      </c>
      <c r="B51" t="inlineStr">
        <is>
          <t>Somerville</t>
        </is>
      </c>
      <c r="C51" s="6" t="inlineStr">
        <is>
          <t>https://www.redfin.com/MA/Somerville/367-Somerville-Ave-02143/unit-G/home/8751476</t>
        </is>
      </c>
      <c r="D51" s="7" t="n"/>
      <c r="E51" s="3" t="n">
        <v>425000</v>
      </c>
      <c r="F51" s="3" t="n">
        <v>304</v>
      </c>
      <c r="G51" t="n">
        <v>1</v>
      </c>
      <c r="H51" t="n">
        <v>1</v>
      </c>
      <c r="I51" s="4" t="n">
        <v>419</v>
      </c>
      <c r="J51" t="inlineStr">
        <is>
          <t>No</t>
        </is>
      </c>
      <c r="K51" t="inlineStr">
        <is>
          <t>0 spaces</t>
        </is>
      </c>
      <c r="L51" s="3">
        <f>Assumptions!B3</f>
        <v/>
      </c>
      <c r="M51" s="3">
        <f>E51-L51</f>
        <v/>
      </c>
      <c r="N51" s="3">
        <f>-PMT(Assumptions!B2/12,Assumptions!B4*12,M51)</f>
        <v/>
      </c>
      <c r="O51" s="3">
        <f>E51*Assumptions!B5/12</f>
        <v/>
      </c>
      <c r="P51" s="3">
        <f>Assumptions!B6</f>
        <v/>
      </c>
      <c r="Q51" s="3">
        <f>Assumptions!B7+Assumptions!B8</f>
        <v/>
      </c>
      <c r="R51" s="3">
        <f>N51+F51+O51+P51+Q51</f>
        <v/>
      </c>
      <c r="S51" s="3" t="n">
        <v>0</v>
      </c>
      <c r="T51" s="3">
        <f>R51-S51*MAX(IFERROR(G51-1,0),0)</f>
        <v/>
      </c>
      <c r="U51" t="n">
        <v>2.1</v>
      </c>
      <c r="V51" t="n">
        <v>10.3</v>
      </c>
      <c r="W51" t="n">
        <v>6</v>
      </c>
      <c r="X51" s="8" t="n">
        <v>2</v>
      </c>
      <c r="Y51" t="inlineStr">
        <is>
          <t>Yellow</t>
        </is>
      </c>
    </row>
    <row r="52">
      <c r="A52" s="9" t="inlineStr">
        <is>
          <t>5 Waldo Ave Unit 2A, Somerville, MA 02143</t>
        </is>
      </c>
      <c r="B52" t="inlineStr">
        <is>
          <t>Somerville</t>
        </is>
      </c>
      <c r="C52" s="6" t="inlineStr">
        <is>
          <t>https://www.redfin.com/MA/Somerville/5-Waldo-Ave-02143/unit-2A/home/8759932</t>
        </is>
      </c>
      <c r="D52" s="7" t="n"/>
      <c r="E52" s="3" t="n">
        <v>425000</v>
      </c>
      <c r="F52" s="3" t="n">
        <v>317</v>
      </c>
      <c r="G52" t="n">
        <v>1</v>
      </c>
      <c r="H52" t="n">
        <v>1</v>
      </c>
      <c r="I52" s="4" t="n">
        <v>530</v>
      </c>
      <c r="J52" t="inlineStr">
        <is>
          <t>No</t>
        </is>
      </c>
      <c r="K52" t="inlineStr">
        <is>
          <t>0 spaces</t>
        </is>
      </c>
      <c r="L52" s="3">
        <f>Assumptions!B3</f>
        <v/>
      </c>
      <c r="M52" s="3">
        <f>E52-L52</f>
        <v/>
      </c>
      <c r="N52" s="3">
        <f>-PMT(Assumptions!B2/12,Assumptions!B4*12,M52)</f>
        <v/>
      </c>
      <c r="O52" s="3">
        <f>E52*Assumptions!B5/12</f>
        <v/>
      </c>
      <c r="P52" s="3">
        <f>Assumptions!B6</f>
        <v/>
      </c>
      <c r="Q52" s="3">
        <f>Assumptions!B7+Assumptions!B8</f>
        <v/>
      </c>
      <c r="R52" s="3">
        <f>N52+F52+O52+P52+Q52</f>
        <v/>
      </c>
      <c r="S52" s="3" t="n">
        <v>0</v>
      </c>
      <c r="T52" s="3">
        <f>R52-S52*MAX(IFERROR(G52-1,0),0)</f>
        <v/>
      </c>
      <c r="U52" t="n">
        <v>3.2</v>
      </c>
      <c r="V52" t="n">
        <v>11.7</v>
      </c>
      <c r="W52" t="n">
        <v>6</v>
      </c>
      <c r="X52" s="8" t="n">
        <v>2</v>
      </c>
      <c r="Y52" t="inlineStr">
        <is>
          <t>Yellow</t>
        </is>
      </c>
    </row>
    <row r="53">
      <c r="A53" s="9" t="inlineStr">
        <is>
          <t>1263 Commonwealth Ave #4, Allston, MA 02134</t>
        </is>
      </c>
      <c r="B53" t="inlineStr">
        <is>
          <t>Allston</t>
        </is>
      </c>
      <c r="C53" s="6" t="inlineStr">
        <is>
          <t>https://www.redfin.com/MA/Allston/1263-Commonwealth-Ave-02134/unit-4/home/8995479</t>
        </is>
      </c>
      <c r="D53" s="7" t="n"/>
      <c r="E53" s="3" t="n">
        <v>575000</v>
      </c>
      <c r="F53" s="3" t="n">
        <v>430</v>
      </c>
      <c r="G53" t="n">
        <v>2</v>
      </c>
      <c r="H53" t="n">
        <v>1</v>
      </c>
      <c r="I53" s="4" t="n">
        <v>968</v>
      </c>
      <c r="J53" t="inlineStr">
        <is>
          <t>No</t>
        </is>
      </c>
      <c r="K53" t="inlineStr">
        <is>
          <t>1 space</t>
        </is>
      </c>
      <c r="L53" s="3">
        <f>Assumptions!B3</f>
        <v/>
      </c>
      <c r="M53" s="3">
        <f>E53-L53</f>
        <v/>
      </c>
      <c r="N53" s="3">
        <f>-PMT(Assumptions!B2/12,Assumptions!B4*12,M53)</f>
        <v/>
      </c>
      <c r="O53" s="3">
        <f>E53*Assumptions!B5/12</f>
        <v/>
      </c>
      <c r="P53" s="3">
        <f>Assumptions!B6</f>
        <v/>
      </c>
      <c r="Q53" s="3">
        <f>Assumptions!B7+Assumptions!B8</f>
        <v/>
      </c>
      <c r="R53" s="3">
        <f>N53+F53+O53+P53+Q53</f>
        <v/>
      </c>
      <c r="S53" s="3" t="n">
        <v>1235</v>
      </c>
      <c r="T53" s="3">
        <f>R53-S53*MAX(IFERROR(G53-1,0),0)</f>
        <v/>
      </c>
      <c r="U53" t="n">
        <v>1.3</v>
      </c>
      <c r="V53" t="n">
        <v>12.1</v>
      </c>
      <c r="W53" t="n">
        <v>11.7</v>
      </c>
      <c r="X53" s="8" t="n">
        <v>2</v>
      </c>
      <c r="Y53" t="inlineStr">
        <is>
          <t>Yellow</t>
        </is>
      </c>
    </row>
    <row r="54">
      <c r="A54" s="9" t="inlineStr">
        <is>
          <t>1666 Commonwealth Ave Unit 66-24, Brighton, MA 02135</t>
        </is>
      </c>
      <c r="B54" t="inlineStr">
        <is>
          <t>Brighton</t>
        </is>
      </c>
      <c r="C54" s="6" t="inlineStr">
        <is>
          <t>https://www.redfin.com/MA/Brighton/1666-Commonwealth-Ave-02135/unit-66-24/home/200890931</t>
        </is>
      </c>
      <c r="D54" s="7" t="n"/>
      <c r="E54" s="3" t="n">
        <v>449900</v>
      </c>
      <c r="F54" s="3" t="n">
        <v>343</v>
      </c>
      <c r="G54" t="n">
        <v>1</v>
      </c>
      <c r="H54" t="n">
        <v>1</v>
      </c>
      <c r="I54" s="4" t="n">
        <v>573</v>
      </c>
      <c r="J54" t="inlineStr">
        <is>
          <t>No</t>
        </is>
      </c>
      <c r="K54" t="inlineStr">
        <is>
          <t>0 spaces</t>
        </is>
      </c>
      <c r="L54" s="3">
        <f>Assumptions!B3</f>
        <v/>
      </c>
      <c r="M54" s="3">
        <f>E54-L54</f>
        <v/>
      </c>
      <c r="N54" s="3">
        <f>-PMT(Assumptions!B2/12,Assumptions!B4*12,M54)</f>
        <v/>
      </c>
      <c r="O54" s="3">
        <f>E54*Assumptions!B5/12</f>
        <v/>
      </c>
      <c r="P54" s="3">
        <f>Assumptions!B6</f>
        <v/>
      </c>
      <c r="Q54" s="3">
        <f>Assumptions!B7+Assumptions!B8</f>
        <v/>
      </c>
      <c r="R54" s="3">
        <f>N54+F54+O54+P54+Q54</f>
        <v/>
      </c>
      <c r="S54" s="3" t="n">
        <v>0</v>
      </c>
      <c r="T54" s="3">
        <f>R54-S54*MAX(IFERROR(G54-1,0),0)</f>
        <v/>
      </c>
      <c r="U54" t="n">
        <v>2.5</v>
      </c>
      <c r="V54" t="n">
        <v>14.2</v>
      </c>
      <c r="W54" t="n">
        <v>13.8</v>
      </c>
      <c r="X54" s="8" t="n">
        <v>2</v>
      </c>
      <c r="Y54" t="inlineStr">
        <is>
          <t>Yellow</t>
        </is>
      </c>
    </row>
    <row r="55">
      <c r="A55" s="9" t="inlineStr">
        <is>
          <t>18 Glenville Ave Unit 3A, Allston, MA 02134</t>
        </is>
      </c>
      <c r="B55" t="inlineStr">
        <is>
          <t>Allston</t>
        </is>
      </c>
      <c r="C55" s="6" t="inlineStr">
        <is>
          <t>https://www.redfin.com/MA/Allston/18-Glenville-Ave-02134/unit-3A/home/8995847</t>
        </is>
      </c>
      <c r="D55" s="7" t="n"/>
      <c r="E55" s="3" t="n">
        <v>399900</v>
      </c>
      <c r="F55" s="3" t="n">
        <v>427</v>
      </c>
      <c r="G55" t="n">
        <v>1</v>
      </c>
      <c r="H55" t="n">
        <v>1</v>
      </c>
      <c r="I55" s="4" t="n">
        <v>495</v>
      </c>
      <c r="J55" t="inlineStr">
        <is>
          <t>No</t>
        </is>
      </c>
      <c r="K55" t="inlineStr">
        <is>
          <t>0 spaces</t>
        </is>
      </c>
      <c r="L55" s="3">
        <f>Assumptions!B3</f>
        <v/>
      </c>
      <c r="M55" s="3">
        <f>E55-L55</f>
        <v/>
      </c>
      <c r="N55" s="3">
        <f>-PMT(Assumptions!B2/12,Assumptions!B4*12,M55)</f>
        <v/>
      </c>
      <c r="O55" s="3">
        <f>E55*Assumptions!B5/12</f>
        <v/>
      </c>
      <c r="P55" s="3">
        <f>Assumptions!B6</f>
        <v/>
      </c>
      <c r="Q55" s="3">
        <f>Assumptions!B7+Assumptions!B8</f>
        <v/>
      </c>
      <c r="R55" s="3">
        <f>N55+F55+O55+P55+Q55</f>
        <v/>
      </c>
      <c r="S55" s="3" t="n">
        <v>0</v>
      </c>
      <c r="T55" s="3">
        <f>R55-S55*MAX(IFERROR(G55-1,0),0)</f>
        <v/>
      </c>
      <c r="U55" t="n">
        <v>0.6</v>
      </c>
      <c r="V55" t="n">
        <v>11.1</v>
      </c>
      <c r="W55" t="n">
        <v>10.7</v>
      </c>
      <c r="X55" s="8" t="n">
        <v>2</v>
      </c>
      <c r="Y55" t="inlineStr">
        <is>
          <t>Yellow</t>
        </is>
      </c>
    </row>
    <row r="56">
      <c r="A56" s="9" t="inlineStr">
        <is>
          <t>44 Washington St #508, Brookline, MA 02445</t>
        </is>
      </c>
      <c r="B56" t="inlineStr">
        <is>
          <t>Brookline</t>
        </is>
      </c>
      <c r="C56" s="6" t="inlineStr">
        <is>
          <t>https://www.redfin.com/MA/Brookline/44-Washington-St-02445/unit-508/home/11485671</t>
        </is>
      </c>
      <c r="D56" s="7" t="n"/>
      <c r="E56" s="3" t="n">
        <v>419000</v>
      </c>
      <c r="F56" s="3" t="n">
        <v>491</v>
      </c>
      <c r="G56" t="n">
        <v>0</v>
      </c>
      <c r="H56" t="n">
        <v>1</v>
      </c>
      <c r="I56" s="4" t="n">
        <v>500</v>
      </c>
      <c r="J56" t="inlineStr">
        <is>
          <t>No</t>
        </is>
      </c>
      <c r="K56" t="inlineStr">
        <is>
          <t>0 spaces</t>
        </is>
      </c>
      <c r="L56" s="3">
        <f>Assumptions!B3</f>
        <v/>
      </c>
      <c r="M56" s="3">
        <f>E56-L56</f>
        <v/>
      </c>
      <c r="N56" s="3">
        <f>-PMT(Assumptions!B2/12,Assumptions!B4*12,M56)</f>
        <v/>
      </c>
      <c r="O56" s="3">
        <f>E56*Assumptions!B5/12</f>
        <v/>
      </c>
      <c r="P56" s="3">
        <f>Assumptions!B6</f>
        <v/>
      </c>
      <c r="Q56" s="3">
        <f>Assumptions!B7+Assumptions!B8</f>
        <v/>
      </c>
      <c r="R56" s="3">
        <f>N56+F56+O56+P56+Q56</f>
        <v/>
      </c>
      <c r="S56" s="3" t="n">
        <v>0</v>
      </c>
      <c r="T56" s="3">
        <f>R56-S56*MAX(IFERROR(G56-1,0),0)</f>
        <v/>
      </c>
      <c r="U56" t="n">
        <v>1.4</v>
      </c>
      <c r="V56" t="n">
        <v>14</v>
      </c>
      <c r="W56" t="n">
        <v>12.3</v>
      </c>
      <c r="X56" s="8" t="n">
        <v>2</v>
      </c>
      <c r="Y56" t="inlineStr">
        <is>
          <t>Yellow</t>
        </is>
      </c>
    </row>
    <row r="57">
      <c r="A57" s="9" t="inlineStr">
        <is>
          <t>1496 Commonwealth Ave Unit 9E, Brighton, MA 02135</t>
        </is>
      </c>
      <c r="B57" t="inlineStr">
        <is>
          <t>Brighton</t>
        </is>
      </c>
      <c r="C57" s="6" t="inlineStr">
        <is>
          <t>https://www.redfin.com/MA/Brighton/1496-Commonwealth-Ave-02135/unit-9E/home/201193887</t>
        </is>
      </c>
      <c r="D57" s="7" t="n"/>
      <c r="E57" s="3" t="n">
        <v>425000</v>
      </c>
      <c r="F57" s="3" t="n">
        <v>297</v>
      </c>
      <c r="G57" t="n">
        <v>1</v>
      </c>
      <c r="H57" t="n">
        <v>1</v>
      </c>
      <c r="I57" s="4" t="n">
        <v>525</v>
      </c>
      <c r="J57" t="inlineStr">
        <is>
          <t>No</t>
        </is>
      </c>
      <c r="K57" t="inlineStr">
        <is>
          <t>0 spaces</t>
        </is>
      </c>
      <c r="L57" s="3">
        <f>Assumptions!B3</f>
        <v/>
      </c>
      <c r="M57" s="3">
        <f>E57-L57</f>
        <v/>
      </c>
      <c r="N57" s="3">
        <f>-PMT(Assumptions!B2/12,Assumptions!B4*12,M57)</f>
        <v/>
      </c>
      <c r="O57" s="3">
        <f>E57*Assumptions!B5/12</f>
        <v/>
      </c>
      <c r="P57" s="3">
        <f>Assumptions!B6</f>
        <v/>
      </c>
      <c r="Q57" s="3">
        <f>Assumptions!B7+Assumptions!B8</f>
        <v/>
      </c>
      <c r="R57" s="3">
        <f>N57+F57+O57+P57+Q57</f>
        <v/>
      </c>
      <c r="S57" s="3" t="n">
        <v>0</v>
      </c>
      <c r="T57" s="3">
        <f>R57-S57*MAX(IFERROR(G57-1,0),0)</f>
        <v/>
      </c>
      <c r="U57" t="n">
        <v>0.8</v>
      </c>
      <c r="V57" t="n">
        <v>12.9</v>
      </c>
      <c r="W57" t="n">
        <v>12.5</v>
      </c>
      <c r="X57" s="8" t="n">
        <v>2</v>
      </c>
      <c r="Y57" t="inlineStr">
        <is>
          <t>Yellow</t>
        </is>
      </c>
    </row>
    <row r="58">
      <c r="A58" s="9" t="inlineStr">
        <is>
          <t>474 Broadway #25, Somerville, MA 02145</t>
        </is>
      </c>
      <c r="B58" t="inlineStr">
        <is>
          <t>Somerville</t>
        </is>
      </c>
      <c r="C58" s="6" t="inlineStr">
        <is>
          <t>https://www.redfin.com/MA/Somerville/474-Broadway-02145/unit-25/home/8709234</t>
        </is>
      </c>
      <c r="D58" s="7" t="n"/>
      <c r="E58" s="3" t="n">
        <v>399000</v>
      </c>
      <c r="F58" s="3" t="n">
        <v>419</v>
      </c>
      <c r="G58" t="n">
        <v>1</v>
      </c>
      <c r="H58" t="n">
        <v>1</v>
      </c>
      <c r="I58" s="4" t="n">
        <v>640</v>
      </c>
      <c r="J58" t="inlineStr">
        <is>
          <t>No</t>
        </is>
      </c>
      <c r="K58" t="inlineStr">
        <is>
          <t>1 space</t>
        </is>
      </c>
      <c r="L58" s="3">
        <f>Assumptions!B3</f>
        <v/>
      </c>
      <c r="M58" s="3">
        <f>E58-L58</f>
        <v/>
      </c>
      <c r="N58" s="3">
        <f>-PMT(Assumptions!B2/12,Assumptions!B4*12,M58)</f>
        <v/>
      </c>
      <c r="O58" s="3">
        <f>E58*Assumptions!B5/12</f>
        <v/>
      </c>
      <c r="P58" s="3">
        <f>Assumptions!B6</f>
        <v/>
      </c>
      <c r="Q58" s="3">
        <f>Assumptions!B7+Assumptions!B8</f>
        <v/>
      </c>
      <c r="R58" s="3">
        <f>N58+F58+O58+P58+Q58</f>
        <v/>
      </c>
      <c r="S58" s="3" t="n">
        <v>0</v>
      </c>
      <c r="T58" s="3">
        <f>R58-S58*MAX(IFERROR(G58-1,0),0)</f>
        <v/>
      </c>
      <c r="U58" t="n">
        <v>2.1</v>
      </c>
      <c r="V58" t="n">
        <v>11.1</v>
      </c>
      <c r="W58" t="n">
        <v>8.5</v>
      </c>
      <c r="X58" s="8" t="n">
        <v>2</v>
      </c>
      <c r="Y58" t="inlineStr">
        <is>
          <t>Yellow</t>
        </is>
      </c>
    </row>
    <row r="59">
      <c r="A59" s="9" t="inlineStr">
        <is>
          <t>115 W Sqantum #607, Quincy, MA 02171</t>
        </is>
      </c>
      <c r="B59" t="inlineStr">
        <is>
          <t>Quincy</t>
        </is>
      </c>
      <c r="C59" s="6" t="inlineStr">
        <is>
          <t>https://www.redfin.com/MA/Quincy/115-W-Squantum-St-02171/unit-607/home/9025296</t>
        </is>
      </c>
      <c r="D59" s="7" t="inlineStr">
        <is>
          <t>2026-04-10</t>
        </is>
      </c>
      <c r="E59" s="3" t="n">
        <v>368000</v>
      </c>
      <c r="F59" s="3" t="n">
        <v>416</v>
      </c>
      <c r="G59" t="n">
        <v>1</v>
      </c>
      <c r="H59" t="n">
        <v>1</v>
      </c>
      <c r="I59" s="4" t="n">
        <v>765</v>
      </c>
      <c r="J59" t="inlineStr">
        <is>
          <t>No</t>
        </is>
      </c>
      <c r="K59" t="inlineStr">
        <is>
          <t>1 space</t>
        </is>
      </c>
      <c r="L59" s="3">
        <f>Assumptions!B3</f>
        <v/>
      </c>
      <c r="M59" s="3">
        <f>E59-L59</f>
        <v/>
      </c>
      <c r="N59" s="3">
        <f>-PMT(Assumptions!B2/12,Assumptions!B4*12,M59)</f>
        <v/>
      </c>
      <c r="O59" s="3">
        <f>E59*Assumptions!B5/12</f>
        <v/>
      </c>
      <c r="P59" s="3">
        <f>Assumptions!B6</f>
        <v/>
      </c>
      <c r="Q59" s="3">
        <f>Assumptions!B7+Assumptions!B8</f>
        <v/>
      </c>
      <c r="R59" s="3">
        <f>N59+F59+O59+P59+Q59</f>
        <v/>
      </c>
      <c r="S59" s="3" t="n">
        <v>0</v>
      </c>
      <c r="T59" s="3">
        <f>R59-S59*MAX(IFERROR(G59-1,0),0)</f>
        <v/>
      </c>
      <c r="U59" t="n">
        <v>2.6</v>
      </c>
      <c r="V59" t="n">
        <v>13.4</v>
      </c>
      <c r="W59" t="n">
        <v>17.4</v>
      </c>
      <c r="X59" s="8" t="n">
        <v>2</v>
      </c>
      <c r="Y59" t="inlineStr">
        <is>
          <t>Yellow</t>
        </is>
      </c>
    </row>
    <row r="60">
      <c r="A60" s="9" t="inlineStr">
        <is>
          <t>28 Hibiscus Ave, Waltham, MA 02451</t>
        </is>
      </c>
      <c r="B60" t="inlineStr">
        <is>
          <t>Waltham</t>
        </is>
      </c>
      <c r="C60" s="6" t="inlineStr">
        <is>
          <t>https://www.redfin.com/MA/Waltham/28-Hibiscus-Ave-02451/home/11802693</t>
        </is>
      </c>
      <c r="D60" s="7" t="inlineStr">
        <is>
          <t>2026-04-12</t>
        </is>
      </c>
      <c r="E60" s="3" t="n">
        <v>585000</v>
      </c>
      <c r="F60" s="3" t="n">
        <v>0</v>
      </c>
      <c r="G60" t="n">
        <v>3</v>
      </c>
      <c r="H60" t="n">
        <v>1.5</v>
      </c>
      <c r="I60" s="4" t="n">
        <v>1303</v>
      </c>
      <c r="J60" t="inlineStr">
        <is>
          <t>No</t>
        </is>
      </c>
      <c r="K60" t="inlineStr">
        <is>
          <t>3 spaces</t>
        </is>
      </c>
      <c r="L60" s="3">
        <f>Assumptions!B3</f>
        <v/>
      </c>
      <c r="M60" s="3">
        <f>E60-L60</f>
        <v/>
      </c>
      <c r="N60" s="3">
        <f>-PMT(Assumptions!B2/12,Assumptions!B4*12,M60)</f>
        <v/>
      </c>
      <c r="O60" s="3">
        <f>E60*Assumptions!B5/12</f>
        <v/>
      </c>
      <c r="P60" s="3">
        <f>Assumptions!B6</f>
        <v/>
      </c>
      <c r="Q60" s="3">
        <f>Assumptions!B7+Assumptions!B8</f>
        <v/>
      </c>
      <c r="R60" s="3">
        <f>N60+F60+O60+P60+Q60</f>
        <v/>
      </c>
      <c r="S60" s="3" t="n">
        <v>1235</v>
      </c>
      <c r="T60" s="3">
        <f>R60-S60*MAX(IFERROR(G60-1,0),0)</f>
        <v/>
      </c>
      <c r="U60" t="n">
        <v>14.4</v>
      </c>
      <c r="V60" t="n">
        <v>26.9</v>
      </c>
      <c r="W60" t="n">
        <v>24.8</v>
      </c>
      <c r="X60" s="8" t="n">
        <v>2</v>
      </c>
      <c r="Y60" t="inlineStr">
        <is>
          <t>Yellow</t>
        </is>
      </c>
    </row>
    <row r="61">
      <c r="A61" s="9" t="inlineStr">
        <is>
          <t>36 Bellvista Rd #36, Boston, MA 02135</t>
        </is>
      </c>
      <c r="B61" t="inlineStr">
        <is>
          <t>Brighton</t>
        </is>
      </c>
      <c r="C61" s="6" t="inlineStr">
        <is>
          <t>https://www.redfin.com/MA/Boston/36-Bellvista-Rd-02135/unit-36/home/201241136</t>
        </is>
      </c>
      <c r="D61" s="7" t="inlineStr">
        <is>
          <t>2026-04-08</t>
        </is>
      </c>
      <c r="E61" s="3" t="n">
        <v>467500</v>
      </c>
      <c r="F61" s="3" t="n">
        <v>451</v>
      </c>
      <c r="G61" t="n">
        <v>1</v>
      </c>
      <c r="H61" t="n">
        <v>1</v>
      </c>
      <c r="I61" s="4" t="n">
        <v>760</v>
      </c>
      <c r="J61" t="inlineStr">
        <is>
          <t>No</t>
        </is>
      </c>
      <c r="K61" t="inlineStr">
        <is>
          <t>1 space</t>
        </is>
      </c>
      <c r="L61" s="3">
        <f>Assumptions!B3</f>
        <v/>
      </c>
      <c r="M61" s="3">
        <f>E61-L61</f>
        <v/>
      </c>
      <c r="N61" s="3">
        <f>-PMT(Assumptions!B2/12,Assumptions!B4*12,M61)</f>
        <v/>
      </c>
      <c r="O61" s="3">
        <f>E61*Assumptions!B5/12</f>
        <v/>
      </c>
      <c r="P61" s="3">
        <f>Assumptions!B6</f>
        <v/>
      </c>
      <c r="Q61" s="3">
        <f>Assumptions!B7+Assumptions!B8</f>
        <v/>
      </c>
      <c r="R61" s="3">
        <f>N61+F61+O61+P61+Q61</f>
        <v/>
      </c>
      <c r="S61" s="3" t="n">
        <v>0</v>
      </c>
      <c r="T61" s="3">
        <f>R61-S61*MAX(IFERROR(G61-1,0),0)</f>
        <v/>
      </c>
      <c r="U61" t="n">
        <v>2.3</v>
      </c>
      <c r="V61" t="n">
        <v>12.6</v>
      </c>
      <c r="W61" t="n">
        <v>12.2</v>
      </c>
      <c r="X61" s="8" t="n">
        <v>2</v>
      </c>
      <c r="Y61" t="inlineStr">
        <is>
          <t>Yellow</t>
        </is>
      </c>
    </row>
    <row r="62">
      <c r="A62" s="9" t="inlineStr">
        <is>
          <t>533 Cambridge St #308, Allston, MA 02134</t>
        </is>
      </c>
      <c r="B62" t="inlineStr">
        <is>
          <t>Allston</t>
        </is>
      </c>
      <c r="C62" s="6" t="inlineStr">
        <is>
          <t>https://www.redfin.com/MA/Allston/533-Cambridge-St-02134/unit-308/home/12469714</t>
        </is>
      </c>
      <c r="D62" s="7" t="inlineStr">
        <is>
          <t>2026-04-09</t>
        </is>
      </c>
      <c r="E62" s="3" t="n">
        <v>545911</v>
      </c>
      <c r="F62" s="3" t="n">
        <v>270</v>
      </c>
      <c r="G62" t="n">
        <v>1</v>
      </c>
      <c r="H62" t="n">
        <v>1</v>
      </c>
      <c r="I62" s="4" t="n">
        <v>885</v>
      </c>
      <c r="J62" t="inlineStr">
        <is>
          <t>No</t>
        </is>
      </c>
      <c r="K62" t="inlineStr">
        <is>
          <t>1 space</t>
        </is>
      </c>
      <c r="L62" s="3">
        <f>Assumptions!B3</f>
        <v/>
      </c>
      <c r="M62" s="3">
        <f>E62-L62</f>
        <v/>
      </c>
      <c r="N62" s="3">
        <f>-PMT(Assumptions!B2/12,Assumptions!B4*12,M62)</f>
        <v/>
      </c>
      <c r="O62" s="3">
        <f>E62*Assumptions!B5/12</f>
        <v/>
      </c>
      <c r="P62" s="3">
        <f>Assumptions!B6</f>
        <v/>
      </c>
      <c r="Q62" s="3">
        <f>Assumptions!B7+Assumptions!B8</f>
        <v/>
      </c>
      <c r="R62" s="3">
        <f>N62+F62+O62+P62+Q62</f>
        <v/>
      </c>
      <c r="S62" s="3" t="n">
        <v>0</v>
      </c>
      <c r="T62" s="3">
        <f>R62-S62*MAX(IFERROR(G62-1,0),0)</f>
        <v/>
      </c>
      <c r="U62" t="n">
        <v>2.8</v>
      </c>
      <c r="V62" t="n">
        <v>11.1</v>
      </c>
      <c r="W62" t="n">
        <v>10.8</v>
      </c>
      <c r="X62" s="8" t="n">
        <v>2</v>
      </c>
      <c r="Y62" t="inlineStr">
        <is>
          <t>Yellow</t>
        </is>
      </c>
    </row>
    <row r="63">
      <c r="A63" s="9" t="inlineStr">
        <is>
          <t>9 Clyde #9, Somerville, MA 02145</t>
        </is>
      </c>
      <c r="B63" t="inlineStr">
        <is>
          <t>Somerville</t>
        </is>
      </c>
      <c r="C63" s="6" t="inlineStr">
        <is>
          <t>https://www.redfin.com/MA/Somerville/9-Clyde-St-02145/unit-9/home/187141476</t>
        </is>
      </c>
      <c r="D63" s="7" t="inlineStr">
        <is>
          <t>2026-04-09</t>
        </is>
      </c>
      <c r="E63" s="3" t="n">
        <v>569000</v>
      </c>
      <c r="F63" s="3" t="n">
        <v>220</v>
      </c>
      <c r="G63" t="n">
        <v>1</v>
      </c>
      <c r="H63" t="n">
        <v>1</v>
      </c>
      <c r="I63" s="4" t="n">
        <v>712</v>
      </c>
      <c r="J63" t="inlineStr">
        <is>
          <t>No</t>
        </is>
      </c>
      <c r="K63" t="inlineStr">
        <is>
          <t>1 space</t>
        </is>
      </c>
      <c r="L63" s="3">
        <f>Assumptions!B3</f>
        <v/>
      </c>
      <c r="M63" s="3">
        <f>E63-L63</f>
        <v/>
      </c>
      <c r="N63" s="3">
        <f>-PMT(Assumptions!B2/12,Assumptions!B4*12,M63)</f>
        <v/>
      </c>
      <c r="O63" s="3">
        <f>E63*Assumptions!B5/12</f>
        <v/>
      </c>
      <c r="P63" s="3">
        <f>Assumptions!B6</f>
        <v/>
      </c>
      <c r="Q63" s="3">
        <f>Assumptions!B7+Assumptions!B8</f>
        <v/>
      </c>
      <c r="R63" s="3">
        <f>N63+F63+O63+P63+Q63</f>
        <v/>
      </c>
      <c r="S63" s="3" t="n">
        <v>0</v>
      </c>
      <c r="T63" s="3">
        <f>R63-S63*MAX(IFERROR(G63-1,0),0)</f>
        <v/>
      </c>
      <c r="U63" t="n">
        <v>2.4</v>
      </c>
      <c r="V63" t="n">
        <v>13</v>
      </c>
      <c r="W63" t="n">
        <v>10.1</v>
      </c>
      <c r="X63" s="8" t="n">
        <v>2</v>
      </c>
      <c r="Y63" t="inlineStr">
        <is>
          <t>Yellow</t>
        </is>
      </c>
    </row>
    <row r="64">
      <c r="A64" s="9" t="inlineStr">
        <is>
          <t>150 Madison Ave, Quincy, MA 02169</t>
        </is>
      </c>
      <c r="B64" t="inlineStr">
        <is>
          <t>Quincy</t>
        </is>
      </c>
      <c r="C64" s="6" t="inlineStr">
        <is>
          <t>https://www.redfin.com/MA/Quincy/150-Madison-Ave-02169/home/8954563</t>
        </is>
      </c>
      <c r="D64" s="7" t="inlineStr">
        <is>
          <t>2026-04-14</t>
        </is>
      </c>
      <c r="E64" s="3" t="n">
        <v>525000</v>
      </c>
      <c r="F64" s="3" t="n">
        <v>0</v>
      </c>
      <c r="G64" t="n">
        <v>2</v>
      </c>
      <c r="H64" t="n">
        <v>1</v>
      </c>
      <c r="I64" s="4" t="n">
        <v>1078</v>
      </c>
      <c r="J64" t="inlineStr">
        <is>
          <t>No</t>
        </is>
      </c>
      <c r="K64" t="inlineStr">
        <is>
          <t>2 spaces</t>
        </is>
      </c>
      <c r="L64" s="3">
        <f>Assumptions!B3</f>
        <v/>
      </c>
      <c r="M64" s="3">
        <f>E64-L64</f>
        <v/>
      </c>
      <c r="N64" s="3">
        <f>-PMT(Assumptions!B2/12,Assumptions!B4*12,M64)</f>
        <v/>
      </c>
      <c r="O64" s="3">
        <f>E64*Assumptions!B5/12</f>
        <v/>
      </c>
      <c r="P64" s="3">
        <f>Assumptions!B6</f>
        <v/>
      </c>
      <c r="Q64" s="3">
        <f>Assumptions!B7+Assumptions!B8</f>
        <v/>
      </c>
      <c r="R64" s="3">
        <f>N64+F64+O64+P64+Q64</f>
        <v/>
      </c>
      <c r="S64" s="3" t="n">
        <v>1170</v>
      </c>
      <c r="T64" s="3">
        <f>R64-S64*MAX(IFERROR(G64-1,0),0)</f>
        <v/>
      </c>
      <c r="U64" t="n">
        <v>4.8</v>
      </c>
      <c r="V64" t="n">
        <v>20.1</v>
      </c>
      <c r="W64" t="n">
        <v>24.1</v>
      </c>
      <c r="X64" s="8" t="n">
        <v>2</v>
      </c>
      <c r="Y64" t="inlineStr">
        <is>
          <t>Yellow</t>
        </is>
      </c>
    </row>
    <row r="65">
      <c r="A65" s="9" t="inlineStr">
        <is>
          <t>140 Kenrick #8, Brighton, MA 02135</t>
        </is>
      </c>
      <c r="B65" t="inlineStr">
        <is>
          <t>Brighton</t>
        </is>
      </c>
      <c r="C65" s="6" t="inlineStr">
        <is>
          <t>https://www.redfin.com/MA/Brighton/140-Kenrick-St-02135/unit-8/home/9043024</t>
        </is>
      </c>
      <c r="D65" s="7" t="inlineStr">
        <is>
          <t>2026-04-14</t>
        </is>
      </c>
      <c r="E65" s="3" t="n">
        <v>460000</v>
      </c>
      <c r="F65" s="3" t="n">
        <v>434</v>
      </c>
      <c r="G65" t="n">
        <v>2</v>
      </c>
      <c r="H65" t="n">
        <v>1</v>
      </c>
      <c r="I65" s="4" t="n">
        <v>646</v>
      </c>
      <c r="J65" t="inlineStr">
        <is>
          <t>No</t>
        </is>
      </c>
      <c r="K65" t="inlineStr">
        <is>
          <t>2 spaces</t>
        </is>
      </c>
      <c r="L65" s="3">
        <f>Assumptions!B3</f>
        <v/>
      </c>
      <c r="M65" s="3">
        <f>E65-L65</f>
        <v/>
      </c>
      <c r="N65" s="3">
        <f>-PMT(Assumptions!B2/12,Assumptions!B4*12,M65)</f>
        <v/>
      </c>
      <c r="O65" s="3">
        <f>E65*Assumptions!B5/12</f>
        <v/>
      </c>
      <c r="P65" s="3">
        <f>Assumptions!B6</f>
        <v/>
      </c>
      <c r="Q65" s="3">
        <f>Assumptions!B7+Assumptions!B8</f>
        <v/>
      </c>
      <c r="R65" s="3">
        <f>N65+F65+O65+P65+Q65</f>
        <v/>
      </c>
      <c r="S65" s="3" t="n">
        <v>1300</v>
      </c>
      <c r="T65" s="3">
        <f>R65-S65*MAX(IFERROR(G65-1,0),0)</f>
        <v/>
      </c>
      <c r="U65" t="n">
        <v>5.2</v>
      </c>
      <c r="V65" t="n">
        <v>16.5</v>
      </c>
      <c r="W65" t="n">
        <v>16.6</v>
      </c>
      <c r="X65" s="8" t="n">
        <v>2</v>
      </c>
      <c r="Y65" t="inlineStr">
        <is>
          <t>Yellow</t>
        </is>
      </c>
    </row>
    <row r="66">
      <c r="A66" s="9" t="inlineStr">
        <is>
          <t>1-Bedroom Plan, Quincy, MA 02169</t>
        </is>
      </c>
      <c r="B66" t="inlineStr">
        <is>
          <t>Quincy</t>
        </is>
      </c>
      <c r="C66" s="6" t="inlineStr">
        <is>
          <t>https://www.redfin.com/MA/Quincy/Quincy/1-Bedroom/home/197950895</t>
        </is>
      </c>
      <c r="D66" s="7" t="n"/>
      <c r="E66" s="3" t="n">
        <v>399000</v>
      </c>
      <c r="F66" s="3" t="n">
        <v>0</v>
      </c>
      <c r="G66" t="n">
        <v>1</v>
      </c>
      <c r="H66" t="n">
        <v>1</v>
      </c>
      <c r="I66" s="4" t="n">
        <v>500</v>
      </c>
      <c r="J66" t="inlineStr">
        <is>
          <t>No</t>
        </is>
      </c>
      <c r="K66" t="inlineStr">
        <is>
          <t>Unknown</t>
        </is>
      </c>
      <c r="L66" s="3">
        <f>Assumptions!B3</f>
        <v/>
      </c>
      <c r="M66" s="3">
        <f>E66-L66</f>
        <v/>
      </c>
      <c r="N66" s="3">
        <f>-PMT(Assumptions!B2/12,Assumptions!B4*12,M66)</f>
        <v/>
      </c>
      <c r="O66" s="3">
        <f>E66*Assumptions!B5/12</f>
        <v/>
      </c>
      <c r="P66" s="3">
        <f>Assumptions!B6</f>
        <v/>
      </c>
      <c r="Q66" s="3">
        <f>Assumptions!B7+Assumptions!B8</f>
        <v/>
      </c>
      <c r="R66" s="3">
        <f>N66+F66+O66+P66+Q66</f>
        <v/>
      </c>
      <c r="S66" s="3" t="n">
        <v>0</v>
      </c>
      <c r="T66" s="3">
        <f>R66-S66*MAX(IFERROR(G66-1,0),0)</f>
        <v/>
      </c>
      <c r="U66" t="n">
        <v>1.4</v>
      </c>
      <c r="V66" t="n">
        <v>17.1</v>
      </c>
      <c r="W66" t="n">
        <v>21.2</v>
      </c>
      <c r="X66" s="8" t="n">
        <v>1.95</v>
      </c>
      <c r="Y66" t="inlineStr">
        <is>
          <t>Yellow</t>
        </is>
      </c>
    </row>
    <row r="67">
      <c r="A67" s="9" t="inlineStr">
        <is>
          <t>2-Bedrooms Plan, Quincy, MA 02169</t>
        </is>
      </c>
      <c r="B67" t="inlineStr">
        <is>
          <t>Quincy</t>
        </is>
      </c>
      <c r="C67" s="6" t="inlineStr">
        <is>
          <t>https://www.redfin.com/MA/Quincy/Quincy/2-Bedrooms/home/197950891</t>
        </is>
      </c>
      <c r="D67" s="7" t="n"/>
      <c r="E67" s="3" t="n">
        <v>599000</v>
      </c>
      <c r="F67" s="3" t="n">
        <v>0</v>
      </c>
      <c r="G67" t="n">
        <v>2</v>
      </c>
      <c r="H67" t="n">
        <v>2</v>
      </c>
      <c r="I67" s="4" t="n">
        <v>900</v>
      </c>
      <c r="J67" t="inlineStr">
        <is>
          <t>No</t>
        </is>
      </c>
      <c r="K67" t="inlineStr">
        <is>
          <t>Unknown</t>
        </is>
      </c>
      <c r="L67" s="3">
        <f>Assumptions!B3</f>
        <v/>
      </c>
      <c r="M67" s="3">
        <f>E67-L67</f>
        <v/>
      </c>
      <c r="N67" s="3">
        <f>-PMT(Assumptions!B2/12,Assumptions!B4*12,M67)</f>
        <v/>
      </c>
      <c r="O67" s="3">
        <f>E67*Assumptions!B5/12</f>
        <v/>
      </c>
      <c r="P67" s="3">
        <f>Assumptions!B6</f>
        <v/>
      </c>
      <c r="Q67" s="3">
        <f>Assumptions!B7+Assumptions!B8</f>
        <v/>
      </c>
      <c r="R67" s="3">
        <f>N67+F67+O67+P67+Q67</f>
        <v/>
      </c>
      <c r="S67" s="3" t="n">
        <v>1170</v>
      </c>
      <c r="T67" s="3">
        <f>R67-S67*MAX(IFERROR(G67-1,0),0)</f>
        <v/>
      </c>
      <c r="U67" t="n">
        <v>1.4</v>
      </c>
      <c r="V67" t="n">
        <v>17.1</v>
      </c>
      <c r="W67" t="n">
        <v>21.2</v>
      </c>
      <c r="X67" s="8" t="n">
        <v>1.95</v>
      </c>
      <c r="Y67" t="inlineStr">
        <is>
          <t>Yellow</t>
        </is>
      </c>
    </row>
    <row r="68">
      <c r="A68" s="9" t="inlineStr">
        <is>
          <t>31 Warren St Unit B1, Waltham, MA 02453</t>
        </is>
      </c>
      <c r="B68" t="inlineStr">
        <is>
          <t>Waltham</t>
        </is>
      </c>
      <c r="C68" s="6" t="inlineStr">
        <is>
          <t>https://www.redfin.com/MA/Waltham/31-Warren-St-02453/unit-B1/home/11815449</t>
        </is>
      </c>
      <c r="D68" s="7" t="n"/>
      <c r="E68" s="3" t="n">
        <v>429000</v>
      </c>
      <c r="F68" s="3" t="n">
        <v>497</v>
      </c>
      <c r="G68" t="n">
        <v>2</v>
      </c>
      <c r="H68" t="n">
        <v>1</v>
      </c>
      <c r="I68" s="4" t="n">
        <v>708</v>
      </c>
      <c r="J68" t="inlineStr">
        <is>
          <t>No</t>
        </is>
      </c>
      <c r="K68" t="inlineStr">
        <is>
          <t>2 spaces</t>
        </is>
      </c>
      <c r="L68" s="3">
        <f>Assumptions!B3</f>
        <v/>
      </c>
      <c r="M68" s="3">
        <f>E68-L68</f>
        <v/>
      </c>
      <c r="N68" s="3">
        <f>-PMT(Assumptions!B2/12,Assumptions!B4*12,M68)</f>
        <v/>
      </c>
      <c r="O68" s="3">
        <f>E68*Assumptions!B5/12</f>
        <v/>
      </c>
      <c r="P68" s="3">
        <f>Assumptions!B6</f>
        <v/>
      </c>
      <c r="Q68" s="3">
        <f>Assumptions!B7+Assumptions!B8</f>
        <v/>
      </c>
      <c r="R68" s="3">
        <f>N68+F68+O68+P68+Q68</f>
        <v/>
      </c>
      <c r="S68" s="3" t="n">
        <v>1235</v>
      </c>
      <c r="T68" s="3">
        <f>R68-S68*MAX(IFERROR(G68-1,0),0)</f>
        <v/>
      </c>
      <c r="U68" t="n">
        <v>10.5</v>
      </c>
      <c r="V68" t="n">
        <v>19.2</v>
      </c>
      <c r="W68" t="n">
        <v>18</v>
      </c>
      <c r="X68" s="8" t="n">
        <v>1.95</v>
      </c>
      <c r="Y68" t="inlineStr">
        <is>
          <t>Yellow</t>
        </is>
      </c>
    </row>
    <row r="69">
      <c r="A69" s="9" t="inlineStr">
        <is>
          <t>42 Bryon Rd #6, Chestnut Hill, MA 02132</t>
        </is>
      </c>
      <c r="B69" t="inlineStr">
        <is>
          <t>Newton</t>
        </is>
      </c>
      <c r="C69" s="6" t="inlineStr">
        <is>
          <t>https://www.redfin.com/MA/Chestnut-Hill/42-Bryon-Rd-02467/unit-6/home/9204495</t>
        </is>
      </c>
      <c r="D69" s="7" t="n"/>
      <c r="E69" s="3" t="n">
        <v>449900</v>
      </c>
      <c r="F69" s="3" t="n">
        <v>465</v>
      </c>
      <c r="G69" t="n">
        <v>2</v>
      </c>
      <c r="H69" t="n">
        <v>1</v>
      </c>
      <c r="I69" s="4" t="n">
        <v>780</v>
      </c>
      <c r="J69" t="inlineStr">
        <is>
          <t>No</t>
        </is>
      </c>
      <c r="K69" t="inlineStr">
        <is>
          <t>2 spaces</t>
        </is>
      </c>
      <c r="L69" s="3">
        <f>Assumptions!B3</f>
        <v/>
      </c>
      <c r="M69" s="3">
        <f>E69-L69</f>
        <v/>
      </c>
      <c r="N69" s="3">
        <f>-PMT(Assumptions!B2/12,Assumptions!B4*12,M69)</f>
        <v/>
      </c>
      <c r="O69" s="3">
        <f>E69*Assumptions!B5/12</f>
        <v/>
      </c>
      <c r="P69" s="3">
        <f>Assumptions!B6</f>
        <v/>
      </c>
      <c r="Q69" s="3">
        <f>Assumptions!B7+Assumptions!B8</f>
        <v/>
      </c>
      <c r="R69" s="3">
        <f>N69+F69+O69+P69+Q69</f>
        <v/>
      </c>
      <c r="S69" s="3" t="n">
        <v>1430</v>
      </c>
      <c r="T69" s="3">
        <f>R69-S69*MAX(IFERROR(G69-1,0),0)</f>
        <v/>
      </c>
      <c r="U69" t="n">
        <v>6.1</v>
      </c>
      <c r="V69" t="n">
        <v>23.2</v>
      </c>
      <c r="W69" t="n">
        <v>21.6</v>
      </c>
      <c r="X69" s="8" t="n">
        <v>1.95</v>
      </c>
      <c r="Y69" t="inlineStr">
        <is>
          <t>Yellow</t>
        </is>
      </c>
    </row>
    <row r="70">
      <c r="A70" s="9" t="inlineStr">
        <is>
          <t>7 Lothian Rd Unit B, Brighton, MA 02135</t>
        </is>
      </c>
      <c r="B70" t="inlineStr">
        <is>
          <t>Brighton</t>
        </is>
      </c>
      <c r="C70" s="6" t="inlineStr">
        <is>
          <t>https://www.redfin.com/MA/Brighton/7-Lothian-Rd-02135/unit-B/home/9025402</t>
        </is>
      </c>
      <c r="D70" s="7" t="n"/>
      <c r="E70" s="3" t="n">
        <v>539900</v>
      </c>
      <c r="F70" s="3" t="n">
        <v>417</v>
      </c>
      <c r="G70" t="n">
        <v>3</v>
      </c>
      <c r="H70" t="n">
        <v>1</v>
      </c>
      <c r="I70" s="4" t="n">
        <v>900</v>
      </c>
      <c r="J70" t="inlineStr">
        <is>
          <t>No</t>
        </is>
      </c>
      <c r="K70" t="inlineStr">
        <is>
          <t>0 spaces</t>
        </is>
      </c>
      <c r="L70" s="3">
        <f>Assumptions!B3</f>
        <v/>
      </c>
      <c r="M70" s="3">
        <f>E70-L70</f>
        <v/>
      </c>
      <c r="N70" s="3">
        <f>-PMT(Assumptions!B2/12,Assumptions!B4*12,M70)</f>
        <v/>
      </c>
      <c r="O70" s="3">
        <f>E70*Assumptions!B5/12</f>
        <v/>
      </c>
      <c r="P70" s="3">
        <f>Assumptions!B6</f>
        <v/>
      </c>
      <c r="Q70" s="3">
        <f>Assumptions!B7+Assumptions!B8</f>
        <v/>
      </c>
      <c r="R70" s="3">
        <f>N70+F70+O70+P70+Q70</f>
        <v/>
      </c>
      <c r="S70" s="3" t="n">
        <v>1300</v>
      </c>
      <c r="T70" s="3">
        <f>R70-S70*MAX(IFERROR(G70-1,0),0)</f>
        <v/>
      </c>
      <c r="U70" t="n">
        <v>1.2</v>
      </c>
      <c r="V70" t="n">
        <v>16</v>
      </c>
      <c r="W70" t="n">
        <v>14.4</v>
      </c>
      <c r="X70" s="8" t="n">
        <v>1.95</v>
      </c>
      <c r="Y70" t="inlineStr">
        <is>
          <t>Yellow</t>
        </is>
      </c>
    </row>
    <row r="71">
      <c r="A71" s="9" t="inlineStr">
        <is>
          <t>6 Washington Ave #11, Cambridge, MA 02140</t>
        </is>
      </c>
      <c r="B71" t="inlineStr">
        <is>
          <t>Cambridge</t>
        </is>
      </c>
      <c r="C71" s="6" t="inlineStr">
        <is>
          <t>https://www.redfin.com/MA/Cambridge/6-Washington-Ave-02140/unit-11/home/11585376</t>
        </is>
      </c>
      <c r="D71" s="7" t="n"/>
      <c r="E71" s="3" t="n">
        <v>469000</v>
      </c>
      <c r="F71" s="3" t="n">
        <v>320</v>
      </c>
      <c r="G71" t="n">
        <v>0</v>
      </c>
      <c r="H71" t="n">
        <v>1</v>
      </c>
      <c r="I71" s="4" t="n">
        <v>433</v>
      </c>
      <c r="J71" t="inlineStr">
        <is>
          <t>No</t>
        </is>
      </c>
      <c r="K71" t="inlineStr">
        <is>
          <t>0 spaces</t>
        </is>
      </c>
      <c r="L71" s="3">
        <f>Assumptions!B3</f>
        <v/>
      </c>
      <c r="M71" s="3">
        <f>E71-L71</f>
        <v/>
      </c>
      <c r="N71" s="3">
        <f>-PMT(Assumptions!B2/12,Assumptions!B4*12,M71)</f>
        <v/>
      </c>
      <c r="O71" s="3">
        <f>E71*Assumptions!B5/12</f>
        <v/>
      </c>
      <c r="P71" s="3">
        <f>Assumptions!B6</f>
        <v/>
      </c>
      <c r="Q71" s="3">
        <f>Assumptions!B7+Assumptions!B8</f>
        <v/>
      </c>
      <c r="R71" s="3">
        <f>N71+F71+O71+P71+Q71</f>
        <v/>
      </c>
      <c r="S71" s="3" t="n">
        <v>0</v>
      </c>
      <c r="T71" s="3">
        <f>R71-S71*MAX(IFERROR(G71-1,0),0)</f>
        <v/>
      </c>
      <c r="U71" t="n">
        <v>2.1</v>
      </c>
      <c r="V71" t="n">
        <v>15.8</v>
      </c>
      <c r="W71" t="n">
        <v>10.3</v>
      </c>
      <c r="X71" s="8" t="n">
        <v>1.95</v>
      </c>
      <c r="Y71" t="inlineStr">
        <is>
          <t>Yellow</t>
        </is>
      </c>
    </row>
    <row r="72">
      <c r="A72" s="9" t="inlineStr">
        <is>
          <t>26 Friend St, Waltham, MA 02453</t>
        </is>
      </c>
      <c r="B72" t="inlineStr">
        <is>
          <t>Waltham</t>
        </is>
      </c>
      <c r="C72" s="6" t="inlineStr">
        <is>
          <t>https://www.redfin.com/MA/Waltham/26-Friend-St-02453/home/11818417</t>
        </is>
      </c>
      <c r="D72" s="7" t="n"/>
      <c r="E72" s="3" t="n">
        <v>549900</v>
      </c>
      <c r="F72" s="3" t="n">
        <v>0</v>
      </c>
      <c r="G72" t="n">
        <v>3</v>
      </c>
      <c r="H72" t="n">
        <v>1.5</v>
      </c>
      <c r="I72" s="4" t="n">
        <v>788</v>
      </c>
      <c r="J72" t="inlineStr">
        <is>
          <t>No</t>
        </is>
      </c>
      <c r="K72" t="inlineStr">
        <is>
          <t>2 spaces</t>
        </is>
      </c>
      <c r="L72" s="3">
        <f>Assumptions!B3</f>
        <v/>
      </c>
      <c r="M72" s="3">
        <f>E72-L72</f>
        <v/>
      </c>
      <c r="N72" s="3">
        <f>-PMT(Assumptions!B2/12,Assumptions!B4*12,M72)</f>
        <v/>
      </c>
      <c r="O72" s="3">
        <f>E72*Assumptions!B5/12</f>
        <v/>
      </c>
      <c r="P72" s="3">
        <f>Assumptions!B6</f>
        <v/>
      </c>
      <c r="Q72" s="3">
        <f>Assumptions!B7+Assumptions!B8</f>
        <v/>
      </c>
      <c r="R72" s="3">
        <f>N72+F72+O72+P72+Q72</f>
        <v/>
      </c>
      <c r="S72" s="3" t="n">
        <v>1235</v>
      </c>
      <c r="T72" s="3">
        <f>R72-S72*MAX(IFERROR(G72-1,0),0)</f>
        <v/>
      </c>
      <c r="U72" t="n">
        <v>9.300000000000001</v>
      </c>
      <c r="V72" t="n">
        <v>19</v>
      </c>
      <c r="W72" t="n">
        <v>19.5</v>
      </c>
      <c r="X72" s="8" t="n">
        <v>1.95</v>
      </c>
      <c r="Y72" t="inlineStr">
        <is>
          <t>Yellow</t>
        </is>
      </c>
    </row>
    <row r="73">
      <c r="A73" s="9" t="inlineStr">
        <is>
          <t>156 West St, Quincy, MA 02169</t>
        </is>
      </c>
      <c r="B73" t="inlineStr">
        <is>
          <t>Quincy</t>
        </is>
      </c>
      <c r="C73" s="6" t="inlineStr">
        <is>
          <t>https://www.redfin.com/MA/Quincy/156-West-St-02169/home/8965188</t>
        </is>
      </c>
      <c r="D73" s="7" t="n"/>
      <c r="E73" s="3" t="n">
        <v>579000</v>
      </c>
      <c r="F73" s="3" t="n">
        <v>0</v>
      </c>
      <c r="G73" t="n">
        <v>2</v>
      </c>
      <c r="H73" t="n">
        <v>1.5</v>
      </c>
      <c r="I73" s="4" t="n">
        <v>1088</v>
      </c>
      <c r="J73" t="inlineStr">
        <is>
          <t>No</t>
        </is>
      </c>
      <c r="K73" t="inlineStr">
        <is>
          <t>4 spaces</t>
        </is>
      </c>
      <c r="L73" s="3">
        <f>Assumptions!B3</f>
        <v/>
      </c>
      <c r="M73" s="3">
        <f>E73-L73</f>
        <v/>
      </c>
      <c r="N73" s="3">
        <f>-PMT(Assumptions!B2/12,Assumptions!B4*12,M73)</f>
        <v/>
      </c>
      <c r="O73" s="3">
        <f>E73*Assumptions!B5/12</f>
        <v/>
      </c>
      <c r="P73" s="3">
        <f>Assumptions!B6</f>
        <v/>
      </c>
      <c r="Q73" s="3">
        <f>Assumptions!B7+Assumptions!B8</f>
        <v/>
      </c>
      <c r="R73" s="3">
        <f>N73+F73+O73+P73+Q73</f>
        <v/>
      </c>
      <c r="S73" s="3" t="n">
        <v>1170</v>
      </c>
      <c r="T73" s="3">
        <f>R73-S73*MAX(IFERROR(G73-1,0),0)</f>
        <v/>
      </c>
      <c r="U73" t="n">
        <v>4.2</v>
      </c>
      <c r="V73" t="n">
        <v>16.2</v>
      </c>
      <c r="W73" t="n">
        <v>20.3</v>
      </c>
      <c r="X73" s="8" t="n">
        <v>1.95</v>
      </c>
      <c r="Y73" t="inlineStr">
        <is>
          <t>Yellow</t>
        </is>
      </c>
    </row>
    <row r="74">
      <c r="A74" s="9" t="inlineStr">
        <is>
          <t>134 Sherman St, Quincy, MA 02170</t>
        </is>
      </c>
      <c r="B74" t="inlineStr">
        <is>
          <t>Quincy</t>
        </is>
      </c>
      <c r="C74" s="6" t="inlineStr">
        <is>
          <t>https://www.redfin.com/MA/Quincy/134-Sherman-St-02170/home/8992856</t>
        </is>
      </c>
      <c r="D74" s="7" t="n"/>
      <c r="E74" s="3" t="n">
        <v>589000</v>
      </c>
      <c r="F74" s="3" t="n">
        <v>0</v>
      </c>
      <c r="G74" t="n">
        <v>2</v>
      </c>
      <c r="H74" t="n">
        <v>1</v>
      </c>
      <c r="I74" s="4" t="n">
        <v>1001</v>
      </c>
      <c r="J74" t="inlineStr">
        <is>
          <t>No</t>
        </is>
      </c>
      <c r="K74" t="inlineStr">
        <is>
          <t>5 spaces</t>
        </is>
      </c>
      <c r="L74" s="3">
        <f>Assumptions!B3</f>
        <v/>
      </c>
      <c r="M74" s="3">
        <f>E74-L74</f>
        <v/>
      </c>
      <c r="N74" s="3">
        <f>-PMT(Assumptions!B2/12,Assumptions!B4*12,M74)</f>
        <v/>
      </c>
      <c r="O74" s="3">
        <f>E74*Assumptions!B5/12</f>
        <v/>
      </c>
      <c r="P74" s="3">
        <f>Assumptions!B6</f>
        <v/>
      </c>
      <c r="Q74" s="3">
        <f>Assumptions!B7+Assumptions!B8</f>
        <v/>
      </c>
      <c r="R74" s="3">
        <f>N74+F74+O74+P74+Q74</f>
        <v/>
      </c>
      <c r="S74" s="3" t="n">
        <v>1170</v>
      </c>
      <c r="T74" s="3">
        <f>R74-S74*MAX(IFERROR(G74-1,0),0)</f>
        <v/>
      </c>
      <c r="U74" t="n">
        <v>3.6</v>
      </c>
      <c r="V74" t="n">
        <v>15.2</v>
      </c>
      <c r="W74" t="n">
        <v>19.3</v>
      </c>
      <c r="X74" s="8" t="n">
        <v>1.95</v>
      </c>
      <c r="Y74" t="inlineStr">
        <is>
          <t>Yellow</t>
        </is>
      </c>
    </row>
    <row r="75">
      <c r="A75" s="9" t="inlineStr">
        <is>
          <t>114 Strathmore Rd #404, Brighton, MA 02135</t>
        </is>
      </c>
      <c r="B75" t="inlineStr">
        <is>
          <t>Brighton</t>
        </is>
      </c>
      <c r="C75" s="6" t="inlineStr">
        <is>
          <t>https://www.redfin.com/MA/Brighton/114-Strathmore-Rd-02135/unit-404/home/9026666</t>
        </is>
      </c>
      <c r="D75" s="7" t="n"/>
      <c r="E75" s="3" t="n">
        <v>409000</v>
      </c>
      <c r="F75" s="3" t="n">
        <v>377</v>
      </c>
      <c r="G75" t="n">
        <v>0</v>
      </c>
      <c r="H75" t="n">
        <v>1</v>
      </c>
      <c r="I75" s="4" t="n">
        <v>481</v>
      </c>
      <c r="J75" t="inlineStr">
        <is>
          <t>No</t>
        </is>
      </c>
      <c r="K75" t="inlineStr">
        <is>
          <t>0 spaces</t>
        </is>
      </c>
      <c r="L75" s="3">
        <f>Assumptions!B3</f>
        <v/>
      </c>
      <c r="M75" s="3">
        <f>E75-L75</f>
        <v/>
      </c>
      <c r="N75" s="3">
        <f>-PMT(Assumptions!B2/12,Assumptions!B4*12,M75)</f>
        <v/>
      </c>
      <c r="O75" s="3">
        <f>E75*Assumptions!B5/12</f>
        <v/>
      </c>
      <c r="P75" s="3">
        <f>Assumptions!B6</f>
        <v/>
      </c>
      <c r="Q75" s="3">
        <f>Assumptions!B7+Assumptions!B8</f>
        <v/>
      </c>
      <c r="R75" s="3">
        <f>N75+F75+O75+P75+Q75</f>
        <v/>
      </c>
      <c r="S75" s="3" t="n">
        <v>0</v>
      </c>
      <c r="T75" s="3">
        <f>R75-S75*MAX(IFERROR(G75-1,0),0)</f>
        <v/>
      </c>
      <c r="U75" t="n">
        <v>1.6</v>
      </c>
      <c r="V75" t="n">
        <v>15.6</v>
      </c>
      <c r="W75" t="n">
        <v>13.9</v>
      </c>
      <c r="X75" s="8" t="n">
        <v>1.95</v>
      </c>
      <c r="Y75" t="inlineStr">
        <is>
          <t>Yellow</t>
        </is>
      </c>
    </row>
    <row r="76">
      <c r="A76" s="9" t="inlineStr">
        <is>
          <t>26 Waverly St #410, Brighton, MA 02135</t>
        </is>
      </c>
      <c r="B76" t="inlineStr">
        <is>
          <t>Brighton</t>
        </is>
      </c>
      <c r="C76" s="6" t="inlineStr">
        <is>
          <t>https://www.redfin.com/MA/Brighton/26-Waverly-St-02135/unit-410/home/9010706</t>
        </is>
      </c>
      <c r="D76" s="7" t="inlineStr">
        <is>
          <t>2026-04-08</t>
        </is>
      </c>
      <c r="E76" s="3" t="n">
        <v>530000</v>
      </c>
      <c r="F76" s="3" t="n">
        <v>484</v>
      </c>
      <c r="G76" t="n">
        <v>2</v>
      </c>
      <c r="H76" t="n">
        <v>1</v>
      </c>
      <c r="I76" s="4" t="n">
        <v>800</v>
      </c>
      <c r="J76" t="inlineStr">
        <is>
          <t>No</t>
        </is>
      </c>
      <c r="K76" t="inlineStr">
        <is>
          <t>1 space</t>
        </is>
      </c>
      <c r="L76" s="3">
        <f>Assumptions!B3</f>
        <v/>
      </c>
      <c r="M76" s="3">
        <f>E76-L76</f>
        <v/>
      </c>
      <c r="N76" s="3">
        <f>-PMT(Assumptions!B2/12,Assumptions!B4*12,M76)</f>
        <v/>
      </c>
      <c r="O76" s="3">
        <f>E76*Assumptions!B5/12</f>
        <v/>
      </c>
      <c r="P76" s="3">
        <f>Assumptions!B6</f>
        <v/>
      </c>
      <c r="Q76" s="3">
        <f>Assumptions!B7+Assumptions!B8</f>
        <v/>
      </c>
      <c r="R76" s="3">
        <f>N76+F76+O76+P76+Q76</f>
        <v/>
      </c>
      <c r="S76" s="3" t="n">
        <v>1300</v>
      </c>
      <c r="T76" s="3">
        <f>R76-S76*MAX(IFERROR(G76-1,0),0)</f>
        <v/>
      </c>
      <c r="U76" t="n">
        <v>5.9</v>
      </c>
      <c r="V76" t="n">
        <v>12.5</v>
      </c>
      <c r="W76" t="n">
        <v>12.2</v>
      </c>
      <c r="X76" s="8" t="n">
        <v>1.95</v>
      </c>
      <c r="Y76" t="inlineStr">
        <is>
          <t>Yellow</t>
        </is>
      </c>
    </row>
    <row r="77">
      <c r="A77" s="9" t="inlineStr">
        <is>
          <t>110 Lanark Rd #10, Brighton, MA 02135</t>
        </is>
      </c>
      <c r="B77" t="inlineStr">
        <is>
          <t>Brighton</t>
        </is>
      </c>
      <c r="C77" s="6" t="inlineStr">
        <is>
          <t>https://www.redfin.com/MA/Brighton/110-Lanark-Rd-02135/unit-10/home/9022452</t>
        </is>
      </c>
      <c r="D77" s="7" t="inlineStr">
        <is>
          <t>2026-04-08</t>
        </is>
      </c>
      <c r="E77" s="3" t="n">
        <v>425000</v>
      </c>
      <c r="F77" s="3" t="n">
        <v>494</v>
      </c>
      <c r="G77" t="n">
        <v>1</v>
      </c>
      <c r="H77" t="n">
        <v>1</v>
      </c>
      <c r="I77" s="4" t="n">
        <v>553</v>
      </c>
      <c r="J77" t="inlineStr">
        <is>
          <t>No</t>
        </is>
      </c>
      <c r="K77" t="inlineStr">
        <is>
          <t>0 spaces</t>
        </is>
      </c>
      <c r="L77" s="3">
        <f>Assumptions!B3</f>
        <v/>
      </c>
      <c r="M77" s="3">
        <f>E77-L77</f>
        <v/>
      </c>
      <c r="N77" s="3">
        <f>-PMT(Assumptions!B2/12,Assumptions!B4*12,M77)</f>
        <v/>
      </c>
      <c r="O77" s="3">
        <f>E77*Assumptions!B5/12</f>
        <v/>
      </c>
      <c r="P77" s="3">
        <f>Assumptions!B6</f>
        <v/>
      </c>
      <c r="Q77" s="3">
        <f>Assumptions!B7+Assumptions!B8</f>
        <v/>
      </c>
      <c r="R77" s="3">
        <f>N77+F77+O77+P77+Q77</f>
        <v/>
      </c>
      <c r="S77" s="3" t="n">
        <v>0</v>
      </c>
      <c r="T77" s="3">
        <f>R77-S77*MAX(IFERROR(G77-1,0),0)</f>
        <v/>
      </c>
      <c r="U77" t="n">
        <v>0.9</v>
      </c>
      <c r="V77" t="n">
        <v>14.8</v>
      </c>
      <c r="W77" t="n">
        <v>14.1</v>
      </c>
      <c r="X77" s="8" t="n">
        <v>1.95</v>
      </c>
      <c r="Y77" t="inlineStr">
        <is>
          <t>Yellow</t>
        </is>
      </c>
    </row>
    <row r="78">
      <c r="A78" s="9" t="inlineStr">
        <is>
          <t>90 Kilsyth Rd #32, Brighton, MA 02135</t>
        </is>
      </c>
      <c r="B78" t="inlineStr">
        <is>
          <t>Brighton</t>
        </is>
      </c>
      <c r="C78" s="6" t="inlineStr">
        <is>
          <t>https://www.redfin.com/MA/Brighton/90-Kilsyth-Rd-02135/unit-32/home/9021275</t>
        </is>
      </c>
      <c r="D78" s="7" t="inlineStr">
        <is>
          <t>2026-04-09</t>
        </is>
      </c>
      <c r="E78" s="3" t="n">
        <v>459000</v>
      </c>
      <c r="F78" s="3" t="n">
        <v>461</v>
      </c>
      <c r="G78" t="n">
        <v>1</v>
      </c>
      <c r="H78" t="n">
        <v>1</v>
      </c>
      <c r="I78" s="4" t="n">
        <v>639</v>
      </c>
      <c r="J78" t="inlineStr">
        <is>
          <t>No</t>
        </is>
      </c>
      <c r="K78" t="inlineStr">
        <is>
          <t>0 spaces</t>
        </is>
      </c>
      <c r="L78" s="3">
        <f>Assumptions!B3</f>
        <v/>
      </c>
      <c r="M78" s="3">
        <f>E78-L78</f>
        <v/>
      </c>
      <c r="N78" s="3">
        <f>-PMT(Assumptions!B2/12,Assumptions!B4*12,M78)</f>
        <v/>
      </c>
      <c r="O78" s="3">
        <f>E78*Assumptions!B5/12</f>
        <v/>
      </c>
      <c r="P78" s="3">
        <f>Assumptions!B6</f>
        <v/>
      </c>
      <c r="Q78" s="3">
        <f>Assumptions!B7+Assumptions!B8</f>
        <v/>
      </c>
      <c r="R78" s="3">
        <f>N78+F78+O78+P78+Q78</f>
        <v/>
      </c>
      <c r="S78" s="3" t="n">
        <v>0</v>
      </c>
      <c r="T78" s="3">
        <f>R78-S78*MAX(IFERROR(G78-1,0),0)</f>
        <v/>
      </c>
      <c r="U78" t="n">
        <v>1.1</v>
      </c>
      <c r="V78" t="n">
        <v>15</v>
      </c>
      <c r="W78" t="n">
        <v>13.8</v>
      </c>
      <c r="X78" s="8" t="n">
        <v>1.95</v>
      </c>
      <c r="Y78" t="inlineStr">
        <is>
          <t>Yellow</t>
        </is>
      </c>
    </row>
    <row r="79">
      <c r="A79" s="9" t="inlineStr">
        <is>
          <t>35 Homer Ave #7, Cambridge, MA 02138</t>
        </is>
      </c>
      <c r="B79" t="inlineStr">
        <is>
          <t>Watertown</t>
        </is>
      </c>
      <c r="C79" s="6" t="inlineStr">
        <is>
          <t>https://www.redfin.com/MA/Cambridge/35-Homer-Ave-02138/unit-7/home/12442078</t>
        </is>
      </c>
      <c r="D79" s="7" t="n"/>
      <c r="E79" s="3" t="n">
        <v>500000</v>
      </c>
      <c r="F79" s="3" t="n">
        <v>325</v>
      </c>
      <c r="G79" t="n">
        <v>1</v>
      </c>
      <c r="H79" t="n">
        <v>1</v>
      </c>
      <c r="I79" s="4" t="n">
        <v>504</v>
      </c>
      <c r="J79" t="inlineStr">
        <is>
          <t>No</t>
        </is>
      </c>
      <c r="K79" t="inlineStr">
        <is>
          <t>1 space</t>
        </is>
      </c>
      <c r="L79" s="3">
        <f>Assumptions!B3</f>
        <v/>
      </c>
      <c r="M79" s="3">
        <f>E79-L79</f>
        <v/>
      </c>
      <c r="N79" s="3">
        <f>-PMT(Assumptions!B2/12,Assumptions!B4*12,M79)</f>
        <v/>
      </c>
      <c r="O79" s="3">
        <f>E79*Assumptions!B5/12</f>
        <v/>
      </c>
      <c r="P79" s="3">
        <f>Assumptions!B6</f>
        <v/>
      </c>
      <c r="Q79" s="3">
        <f>Assumptions!B7+Assumptions!B8</f>
        <v/>
      </c>
      <c r="R79" s="3">
        <f>N79+F79+O79+P79+Q79</f>
        <v/>
      </c>
      <c r="S79" s="3" t="n">
        <v>0</v>
      </c>
      <c r="T79" s="3">
        <f>R79-S79*MAX(IFERROR(G79-1,0),0)</f>
        <v/>
      </c>
      <c r="U79" t="n">
        <v>5</v>
      </c>
      <c r="V79" t="n">
        <v>14.2</v>
      </c>
      <c r="W79" t="n">
        <v>11.8</v>
      </c>
      <c r="X79" s="8" t="n">
        <v>1.9</v>
      </c>
      <c r="Y79" t="inlineStr">
        <is>
          <t>Yellow</t>
        </is>
      </c>
    </row>
    <row r="80">
      <c r="A80" s="9" t="inlineStr">
        <is>
          <t>4 Franklin St #202, Boston, MA 02134</t>
        </is>
      </c>
      <c r="B80" t="inlineStr">
        <is>
          <t>Allston</t>
        </is>
      </c>
      <c r="C80" s="6" t="inlineStr">
        <is>
          <t>https://www.redfin.com/MA/Boston/4-Franklin-St-02134/unit-202/home/190592119</t>
        </is>
      </c>
      <c r="D80" s="7" t="n"/>
      <c r="E80" s="3" t="n">
        <v>588000</v>
      </c>
      <c r="F80" s="3" t="n">
        <v>243</v>
      </c>
      <c r="G80" t="n">
        <v>1</v>
      </c>
      <c r="H80" t="n">
        <v>1</v>
      </c>
      <c r="I80" s="4" t="n">
        <v>641</v>
      </c>
      <c r="J80" t="inlineStr">
        <is>
          <t>No</t>
        </is>
      </c>
      <c r="K80" t="inlineStr">
        <is>
          <t>1 space</t>
        </is>
      </c>
      <c r="L80" s="3">
        <f>Assumptions!B3</f>
        <v/>
      </c>
      <c r="M80" s="3">
        <f>E80-L80</f>
        <v/>
      </c>
      <c r="N80" s="3">
        <f>-PMT(Assumptions!B2/12,Assumptions!B4*12,M80)</f>
        <v/>
      </c>
      <c r="O80" s="3">
        <f>E80*Assumptions!B5/12</f>
        <v/>
      </c>
      <c r="P80" s="3">
        <f>Assumptions!B6</f>
        <v/>
      </c>
      <c r="Q80" s="3">
        <f>Assumptions!B7+Assumptions!B8</f>
        <v/>
      </c>
      <c r="R80" s="3">
        <f>N80+F80+O80+P80+Q80</f>
        <v/>
      </c>
      <c r="S80" s="3" t="n">
        <v>0</v>
      </c>
      <c r="T80" s="3">
        <f>R80-S80*MAX(IFERROR(G80-1,0),0)</f>
        <v/>
      </c>
      <c r="U80" t="n">
        <v>1.4</v>
      </c>
      <c r="V80" t="n">
        <v>9.699999999999999</v>
      </c>
      <c r="W80" t="n">
        <v>9.300000000000001</v>
      </c>
      <c r="X80" s="8" t="n">
        <v>1.9</v>
      </c>
      <c r="Y80" t="inlineStr">
        <is>
          <t>Yellow</t>
        </is>
      </c>
    </row>
    <row r="81">
      <c r="A81" s="9" t="inlineStr">
        <is>
          <t>111 Jersey St #15, Boston, MA 02215</t>
        </is>
      </c>
      <c r="B81" t="inlineStr">
        <is>
          <t>Brookline</t>
        </is>
      </c>
      <c r="C81" s="6" t="inlineStr">
        <is>
          <t>https://www.redfin.com/MA/Boston/111-Jersey-St-02215/unit-15/home/9317643</t>
        </is>
      </c>
      <c r="D81" s="7" t="n"/>
      <c r="E81" s="3" t="n">
        <v>529000</v>
      </c>
      <c r="F81" s="3" t="n">
        <v>281</v>
      </c>
      <c r="G81" t="n">
        <v>1</v>
      </c>
      <c r="H81" t="n">
        <v>1</v>
      </c>
      <c r="I81" s="4" t="n">
        <v>395</v>
      </c>
      <c r="J81" t="inlineStr">
        <is>
          <t>No</t>
        </is>
      </c>
      <c r="K81" t="inlineStr">
        <is>
          <t>0 spaces</t>
        </is>
      </c>
      <c r="L81" s="3">
        <f>Assumptions!B3</f>
        <v/>
      </c>
      <c r="M81" s="3">
        <f>E81-L81</f>
        <v/>
      </c>
      <c r="N81" s="3">
        <f>-PMT(Assumptions!B2/12,Assumptions!B4*12,M81)</f>
        <v/>
      </c>
      <c r="O81" s="3">
        <f>E81*Assumptions!B5/12</f>
        <v/>
      </c>
      <c r="P81" s="3">
        <f>Assumptions!B6</f>
        <v/>
      </c>
      <c r="Q81" s="3">
        <f>Assumptions!B7+Assumptions!B8</f>
        <v/>
      </c>
      <c r="R81" s="3">
        <f>N81+F81+O81+P81+Q81</f>
        <v/>
      </c>
      <c r="S81" s="3" t="n">
        <v>0</v>
      </c>
      <c r="T81" s="3">
        <f>R81-S81*MAX(IFERROR(G81-1,0),0)</f>
        <v/>
      </c>
      <c r="U81" t="n">
        <v>1.1</v>
      </c>
      <c r="V81" t="n">
        <v>11.3</v>
      </c>
      <c r="W81" t="n">
        <v>8.4</v>
      </c>
      <c r="X81" s="8" t="n">
        <v>1.9</v>
      </c>
      <c r="Y81" t="inlineStr">
        <is>
          <t>Yellow</t>
        </is>
      </c>
    </row>
    <row r="82">
      <c r="A82" s="9" t="inlineStr">
        <is>
          <t>549 Centre St #2, Newton, MA 02458</t>
        </is>
      </c>
      <c r="B82" t="inlineStr">
        <is>
          <t>Newton</t>
        </is>
      </c>
      <c r="C82" s="6" t="inlineStr">
        <is>
          <t>https://www.redfin.com/MA/Newton/549-Centre-St-02458/unit-2/home/11411108</t>
        </is>
      </c>
      <c r="D82" s="7" t="n"/>
      <c r="E82" s="3" t="n">
        <v>450000</v>
      </c>
      <c r="F82" s="3" t="n">
        <v>333</v>
      </c>
      <c r="G82" t="n">
        <v>1</v>
      </c>
      <c r="H82" t="n">
        <v>1</v>
      </c>
      <c r="I82" s="4" t="n">
        <v>522</v>
      </c>
      <c r="J82" t="inlineStr">
        <is>
          <t>No</t>
        </is>
      </c>
      <c r="K82" t="inlineStr">
        <is>
          <t>0 spaces</t>
        </is>
      </c>
      <c r="L82" s="3">
        <f>Assumptions!B3</f>
        <v/>
      </c>
      <c r="M82" s="3">
        <f>E82-L82</f>
        <v/>
      </c>
      <c r="N82" s="3">
        <f>-PMT(Assumptions!B2/12,Assumptions!B4*12,M82)</f>
        <v/>
      </c>
      <c r="O82" s="3">
        <f>E82*Assumptions!B5/12</f>
        <v/>
      </c>
      <c r="P82" s="3">
        <f>Assumptions!B6</f>
        <v/>
      </c>
      <c r="Q82" s="3">
        <f>Assumptions!B7+Assumptions!B8</f>
        <v/>
      </c>
      <c r="R82" s="3">
        <f>N82+F82+O82+P82+Q82</f>
        <v/>
      </c>
      <c r="S82" s="3" t="n">
        <v>0</v>
      </c>
      <c r="T82" s="3">
        <f>R82-S82*MAX(IFERROR(G82-1,0),0)</f>
        <v/>
      </c>
      <c r="U82" t="n">
        <v>5.8</v>
      </c>
      <c r="V82" t="n">
        <v>13.9</v>
      </c>
      <c r="W82" t="n">
        <v>14.5</v>
      </c>
      <c r="X82" s="8" t="n">
        <v>1.9</v>
      </c>
      <c r="Y82" t="inlineStr">
        <is>
          <t>Yellow</t>
        </is>
      </c>
    </row>
    <row r="83">
      <c r="A83" s="9" t="inlineStr">
        <is>
          <t>35 Glencoe St #43, Brighton, MA 02134</t>
        </is>
      </c>
      <c r="B83" t="inlineStr">
        <is>
          <t>Watertown</t>
        </is>
      </c>
      <c r="C83" s="6" t="inlineStr">
        <is>
          <t>https://www.redfin.com/MA/Brighton/35-Glencoe-St-02135/unit-43/home/9015948</t>
        </is>
      </c>
      <c r="D83" s="7" t="n"/>
      <c r="E83" s="3" t="n">
        <v>475000</v>
      </c>
      <c r="F83" s="3" t="n">
        <v>454</v>
      </c>
      <c r="G83" t="n">
        <v>1</v>
      </c>
      <c r="H83" t="n">
        <v>1</v>
      </c>
      <c r="I83" s="4" t="n">
        <v>697</v>
      </c>
      <c r="J83" t="inlineStr">
        <is>
          <t>No</t>
        </is>
      </c>
      <c r="K83" t="inlineStr">
        <is>
          <t>1 space</t>
        </is>
      </c>
      <c r="L83" s="3">
        <f>Assumptions!B3</f>
        <v/>
      </c>
      <c r="M83" s="3">
        <f>E83-L83</f>
        <v/>
      </c>
      <c r="N83" s="3">
        <f>-PMT(Assumptions!B2/12,Assumptions!B4*12,M83)</f>
        <v/>
      </c>
      <c r="O83" s="3">
        <f>E83*Assumptions!B5/12</f>
        <v/>
      </c>
      <c r="P83" s="3">
        <f>Assumptions!B6</f>
        <v/>
      </c>
      <c r="Q83" s="3">
        <f>Assumptions!B7+Assumptions!B8</f>
        <v/>
      </c>
      <c r="R83" s="3">
        <f>N83+F83+O83+P83+Q83</f>
        <v/>
      </c>
      <c r="S83" s="3" t="n">
        <v>0</v>
      </c>
      <c r="T83" s="3">
        <f>R83-S83*MAX(IFERROR(G83-1,0),0)</f>
        <v/>
      </c>
      <c r="U83" t="n">
        <v>3.1</v>
      </c>
      <c r="V83" t="n">
        <v>12.9</v>
      </c>
      <c r="W83" t="n">
        <v>12.6</v>
      </c>
      <c r="X83" s="8" t="n">
        <v>1.9</v>
      </c>
      <c r="Y83" t="inlineStr">
        <is>
          <t>Yellow</t>
        </is>
      </c>
    </row>
    <row r="84">
      <c r="A84" s="9" t="inlineStr">
        <is>
          <t>241 Hurley St #1, Cambridge, MA 02141</t>
        </is>
      </c>
      <c r="B84" t="inlineStr">
        <is>
          <t>Cambridge</t>
        </is>
      </c>
      <c r="C84" s="6" t="inlineStr">
        <is>
          <t>https://www.redfin.com/MA/Cambridge/241-Hurley-St-02141/unit-1/home/11603214</t>
        </is>
      </c>
      <c r="D84" s="7" t="n"/>
      <c r="E84" s="3" t="n">
        <v>515000</v>
      </c>
      <c r="F84" s="3" t="n">
        <v>350</v>
      </c>
      <c r="G84" t="n">
        <v>1</v>
      </c>
      <c r="H84" t="n">
        <v>1</v>
      </c>
      <c r="I84" s="4" t="n">
        <v>403</v>
      </c>
      <c r="J84" t="inlineStr">
        <is>
          <t>No</t>
        </is>
      </c>
      <c r="K84" t="inlineStr">
        <is>
          <t>0 spaces</t>
        </is>
      </c>
      <c r="L84" s="3">
        <f>Assumptions!B3</f>
        <v/>
      </c>
      <c r="M84" s="3">
        <f>E84-L84</f>
        <v/>
      </c>
      <c r="N84" s="3">
        <f>-PMT(Assumptions!B2/12,Assumptions!B4*12,M84)</f>
        <v/>
      </c>
      <c r="O84" s="3">
        <f>E84*Assumptions!B5/12</f>
        <v/>
      </c>
      <c r="P84" s="3">
        <f>Assumptions!B6</f>
        <v/>
      </c>
      <c r="Q84" s="3">
        <f>Assumptions!B7+Assumptions!B8</f>
        <v/>
      </c>
      <c r="R84" s="3">
        <f>N84+F84+O84+P84+Q84</f>
        <v/>
      </c>
      <c r="S84" s="3" t="n">
        <v>0</v>
      </c>
      <c r="T84" s="3">
        <f>R84-S84*MAX(IFERROR(G84-1,0),0)</f>
        <v/>
      </c>
      <c r="U84" t="n">
        <v>1.6</v>
      </c>
      <c r="V84" t="n">
        <v>8</v>
      </c>
      <c r="W84" t="n">
        <v>2.1</v>
      </c>
      <c r="X84" s="8" t="n">
        <v>1.9</v>
      </c>
      <c r="Y84" t="inlineStr">
        <is>
          <t>Yellow</t>
        </is>
      </c>
    </row>
    <row r="85">
      <c r="A85" s="9" t="inlineStr">
        <is>
          <t>86 East Howard St #107, Quincy, MA 02169</t>
        </is>
      </c>
      <c r="B85" t="inlineStr">
        <is>
          <t>Quincy</t>
        </is>
      </c>
      <c r="C85" s="6" t="inlineStr">
        <is>
          <t>https://www.redfin.com/MA/Quincy/86-E-Howard-St-02169/unit-107/home/9036654</t>
        </is>
      </c>
      <c r="D85" s="7" t="inlineStr">
        <is>
          <t>2026-04-09</t>
        </is>
      </c>
      <c r="E85" s="3" t="n">
        <v>450000</v>
      </c>
      <c r="F85" s="3" t="n">
        <v>416</v>
      </c>
      <c r="G85" t="n">
        <v>2</v>
      </c>
      <c r="H85" t="n">
        <v>1</v>
      </c>
      <c r="I85" s="4" t="n">
        <v>1029</v>
      </c>
      <c r="J85" t="inlineStr">
        <is>
          <t>No</t>
        </is>
      </c>
      <c r="K85" t="inlineStr">
        <is>
          <t>2 spaces</t>
        </is>
      </c>
      <c r="L85" s="3">
        <f>Assumptions!B3</f>
        <v/>
      </c>
      <c r="M85" s="3">
        <f>E85-L85</f>
        <v/>
      </c>
      <c r="N85" s="3">
        <f>-PMT(Assumptions!B2/12,Assumptions!B4*12,M85)</f>
        <v/>
      </c>
      <c r="O85" s="3">
        <f>E85*Assumptions!B5/12</f>
        <v/>
      </c>
      <c r="P85" s="3">
        <f>Assumptions!B6</f>
        <v/>
      </c>
      <c r="Q85" s="3">
        <f>Assumptions!B7+Assumptions!B8</f>
        <v/>
      </c>
      <c r="R85" s="3">
        <f>N85+F85+O85+P85+Q85</f>
        <v/>
      </c>
      <c r="S85" s="3" t="n">
        <v>1170</v>
      </c>
      <c r="T85" s="3">
        <f>R85-S85*MAX(IFERROR(G85-1,0),0)</f>
        <v/>
      </c>
      <c r="U85" t="n">
        <v>6.8</v>
      </c>
      <c r="V85" t="n">
        <v>21.4</v>
      </c>
      <c r="W85" t="n">
        <v>25.5</v>
      </c>
      <c r="X85" s="8" t="n">
        <v>1.9</v>
      </c>
      <c r="Y85" t="inlineStr">
        <is>
          <t>Yellow</t>
        </is>
      </c>
    </row>
    <row r="86">
      <c r="A86" s="9" t="inlineStr">
        <is>
          <t>25 Wellington St #1, Waltham, MA 02451</t>
        </is>
      </c>
      <c r="B86" t="inlineStr">
        <is>
          <t>Waltham</t>
        </is>
      </c>
      <c r="C86" s="6" t="inlineStr">
        <is>
          <t>https://www.redfin.com/MA/Waltham/25-Wellington-St-02451/unit-1/home/11823207</t>
        </is>
      </c>
      <c r="D86" s="7" t="inlineStr">
        <is>
          <t>2026-04-08</t>
        </is>
      </c>
      <c r="E86" s="3" t="n">
        <v>585000</v>
      </c>
      <c r="F86" s="3" t="n">
        <v>225</v>
      </c>
      <c r="G86" t="n">
        <v>3</v>
      </c>
      <c r="H86" t="n">
        <v>2</v>
      </c>
      <c r="I86" s="4" t="n">
        <v>1226</v>
      </c>
      <c r="J86" t="inlineStr">
        <is>
          <t>No</t>
        </is>
      </c>
      <c r="K86" t="inlineStr">
        <is>
          <t>0 spaces</t>
        </is>
      </c>
      <c r="L86" s="3">
        <f>Assumptions!B3</f>
        <v/>
      </c>
      <c r="M86" s="3">
        <f>E86-L86</f>
        <v/>
      </c>
      <c r="N86" s="3">
        <f>-PMT(Assumptions!B2/12,Assumptions!B4*12,M86)</f>
        <v/>
      </c>
      <c r="O86" s="3">
        <f>E86*Assumptions!B5/12</f>
        <v/>
      </c>
      <c r="P86" s="3">
        <f>Assumptions!B6</f>
        <v/>
      </c>
      <c r="Q86" s="3">
        <f>Assumptions!B7+Assumptions!B8</f>
        <v/>
      </c>
      <c r="R86" s="3">
        <f>N86+F86+O86+P86+Q86</f>
        <v/>
      </c>
      <c r="S86" s="3" t="n">
        <v>1235</v>
      </c>
      <c r="T86" s="3">
        <f>R86-S86*MAX(IFERROR(G86-1,0),0)</f>
        <v/>
      </c>
      <c r="U86" t="n">
        <v>9.800000000000001</v>
      </c>
      <c r="V86" t="n">
        <v>22.8</v>
      </c>
      <c r="W86" t="n">
        <v>22.2</v>
      </c>
      <c r="X86" s="8" t="n">
        <v>1.9</v>
      </c>
      <c r="Y86" t="inlineStr">
        <is>
          <t>Yellow</t>
        </is>
      </c>
    </row>
    <row r="87">
      <c r="A87" s="9" t="inlineStr">
        <is>
          <t>75 Park St #8, Brookline, MA 02446</t>
        </is>
      </c>
      <c r="B87" t="inlineStr">
        <is>
          <t>Brookline</t>
        </is>
      </c>
      <c r="C87" s="6" t="inlineStr">
        <is>
          <t>https://www.redfin.com/MA/Brookline/75-Park-St-02446/unit-8/home/11467606</t>
        </is>
      </c>
      <c r="D87" s="7" t="inlineStr">
        <is>
          <t>2026-04-09</t>
        </is>
      </c>
      <c r="E87" s="3" t="n">
        <v>400000</v>
      </c>
      <c r="F87" s="3" t="n">
        <v>288</v>
      </c>
      <c r="G87" t="n">
        <v>0</v>
      </c>
      <c r="H87" t="n">
        <v>1</v>
      </c>
      <c r="I87" s="4" t="n">
        <v>395</v>
      </c>
      <c r="J87" t="inlineStr">
        <is>
          <t>No</t>
        </is>
      </c>
      <c r="K87" t="inlineStr">
        <is>
          <t>0 spaces</t>
        </is>
      </c>
      <c r="L87" s="3">
        <f>Assumptions!B3</f>
        <v/>
      </c>
      <c r="M87" s="3">
        <f>E87-L87</f>
        <v/>
      </c>
      <c r="N87" s="3">
        <f>-PMT(Assumptions!B2/12,Assumptions!B4*12,M87)</f>
        <v/>
      </c>
      <c r="O87" s="3">
        <f>E87*Assumptions!B5/12</f>
        <v/>
      </c>
      <c r="P87" s="3">
        <f>Assumptions!B6</f>
        <v/>
      </c>
      <c r="Q87" s="3">
        <f>Assumptions!B7+Assumptions!B8</f>
        <v/>
      </c>
      <c r="R87" s="3">
        <f>N87+F87+O87+P87+Q87</f>
        <v/>
      </c>
      <c r="S87" s="3" t="n">
        <v>0</v>
      </c>
      <c r="T87" s="3">
        <f>R87-S87*MAX(IFERROR(G87-1,0),0)</f>
        <v/>
      </c>
      <c r="X87" s="8" t="n">
        <v>1.9</v>
      </c>
      <c r="Y87" t="inlineStr">
        <is>
          <t>Yellow</t>
        </is>
      </c>
    </row>
    <row r="88">
      <c r="A88" s="9" t="inlineStr">
        <is>
          <t>131 Park Dr #2, Boston, MA 02215</t>
        </is>
      </c>
      <c r="B88" t="inlineStr">
        <is>
          <t>Brookline</t>
        </is>
      </c>
      <c r="C88" s="6" t="inlineStr">
        <is>
          <t>https://www.redfin.com/MA/Boston/131-Park-Dr-02215/unit-2/home/9241298</t>
        </is>
      </c>
      <c r="D88" s="7" t="inlineStr">
        <is>
          <t>2026-04-13</t>
        </is>
      </c>
      <c r="E88" s="3" t="n">
        <v>499000</v>
      </c>
      <c r="F88" s="3" t="n">
        <v>0</v>
      </c>
      <c r="G88" t="n">
        <v>0</v>
      </c>
      <c r="H88" t="n">
        <v>1</v>
      </c>
      <c r="I88" s="4" t="n">
        <v>350</v>
      </c>
      <c r="J88" t="inlineStr">
        <is>
          <t>No</t>
        </is>
      </c>
      <c r="K88" t="inlineStr">
        <is>
          <t>Unknown</t>
        </is>
      </c>
      <c r="L88" s="3">
        <f>Assumptions!B3</f>
        <v/>
      </c>
      <c r="M88" s="3">
        <f>E88-L88</f>
        <v/>
      </c>
      <c r="N88" s="3">
        <f>-PMT(Assumptions!B2/12,Assumptions!B4*12,M88)</f>
        <v/>
      </c>
      <c r="O88" s="3">
        <f>E88*Assumptions!B5/12</f>
        <v/>
      </c>
      <c r="P88" s="3">
        <f>Assumptions!B6</f>
        <v/>
      </c>
      <c r="Q88" s="3">
        <f>Assumptions!B7+Assumptions!B8</f>
        <v/>
      </c>
      <c r="R88" s="3">
        <f>N88+F88+O88+P88+Q88</f>
        <v/>
      </c>
      <c r="S88" s="3" t="n">
        <v>0</v>
      </c>
      <c r="T88" s="3">
        <f>R88-S88*MAX(IFERROR(G88-1,0),0)</f>
        <v/>
      </c>
      <c r="X88" s="8" t="n">
        <v>1.9</v>
      </c>
      <c r="Y88" t="inlineStr">
        <is>
          <t>Yellow</t>
        </is>
      </c>
    </row>
    <row r="89">
      <c r="A89" s="9" t="inlineStr">
        <is>
          <t>542 Riverside Ave, Medford, MA 02155</t>
        </is>
      </c>
      <c r="B89" t="inlineStr">
        <is>
          <t>Medford</t>
        </is>
      </c>
      <c r="C89" s="6" t="inlineStr">
        <is>
          <t>https://www.redfin.com/MA/Medford/542-Riverside-Ave-02155/home/11801613</t>
        </is>
      </c>
      <c r="D89" s="7" t="inlineStr">
        <is>
          <t>2026-04-07</t>
        </is>
      </c>
      <c r="E89" s="3" t="n">
        <v>535000</v>
      </c>
      <c r="F89" s="3" t="n">
        <v>0</v>
      </c>
      <c r="G89" t="n">
        <v>2</v>
      </c>
      <c r="H89" t="n">
        <v>1</v>
      </c>
      <c r="I89" s="4" t="n">
        <v>948</v>
      </c>
      <c r="J89" t="inlineStr">
        <is>
          <t>No</t>
        </is>
      </c>
      <c r="K89" t="inlineStr">
        <is>
          <t>1 space</t>
        </is>
      </c>
      <c r="L89" s="3">
        <f>Assumptions!B3</f>
        <v/>
      </c>
      <c r="M89" s="3">
        <f>E89-L89</f>
        <v/>
      </c>
      <c r="N89" s="3">
        <f>-PMT(Assumptions!B2/12,Assumptions!B4*12,M89)</f>
        <v/>
      </c>
      <c r="O89" s="3">
        <f>E89*Assumptions!B5/12</f>
        <v/>
      </c>
      <c r="P89" s="3">
        <f>Assumptions!B6</f>
        <v/>
      </c>
      <c r="Q89" s="3">
        <f>Assumptions!B7+Assumptions!B8</f>
        <v/>
      </c>
      <c r="R89" s="3">
        <f>N89+F89+O89+P89+Q89</f>
        <v/>
      </c>
      <c r="S89" s="3" t="n">
        <v>1235</v>
      </c>
      <c r="T89" s="3">
        <f>R89-S89*MAX(IFERROR(G89-1,0),0)</f>
        <v/>
      </c>
      <c r="X89" s="8" t="n">
        <v>1.9</v>
      </c>
      <c r="Y89" t="inlineStr">
        <is>
          <t>Yellow</t>
        </is>
      </c>
    </row>
    <row r="90">
      <c r="A90" s="9" t="inlineStr">
        <is>
          <t>20 Whitney Unit U:1, Quincy, MA 02169</t>
        </is>
      </c>
      <c r="B90" t="inlineStr">
        <is>
          <t>Quincy</t>
        </is>
      </c>
      <c r="C90" s="6" t="inlineStr">
        <is>
          <t>https://www.redfin.com/MA/Quincy/20-Whitney-Rd-02169/unit-U-1/home/200248173</t>
        </is>
      </c>
      <c r="D90" s="7" t="n"/>
      <c r="E90" s="3" t="n">
        <v>499000</v>
      </c>
      <c r="F90" s="3" t="n">
        <v>200</v>
      </c>
      <c r="G90" t="n">
        <v>1</v>
      </c>
      <c r="H90" t="n">
        <v>1</v>
      </c>
      <c r="I90" s="4" t="n">
        <v>638</v>
      </c>
      <c r="J90" t="inlineStr">
        <is>
          <t>No</t>
        </is>
      </c>
      <c r="K90" t="inlineStr">
        <is>
          <t>1 space</t>
        </is>
      </c>
      <c r="L90" s="3">
        <f>Assumptions!B3</f>
        <v/>
      </c>
      <c r="M90" s="3">
        <f>E90-L90</f>
        <v/>
      </c>
      <c r="N90" s="3">
        <f>-PMT(Assumptions!B2/12,Assumptions!B4*12,M90)</f>
        <v/>
      </c>
      <c r="O90" s="3">
        <f>E90*Assumptions!B5/12</f>
        <v/>
      </c>
      <c r="P90" s="3">
        <f>Assumptions!B6</f>
        <v/>
      </c>
      <c r="Q90" s="3">
        <f>Assumptions!B7+Assumptions!B8</f>
        <v/>
      </c>
      <c r="R90" s="3">
        <f>N90+F90+O90+P90+Q90</f>
        <v/>
      </c>
      <c r="S90" s="3" t="n">
        <v>0</v>
      </c>
      <c r="T90" s="3">
        <f>R90-S90*MAX(IFERROR(G90-1,0),0)</f>
        <v/>
      </c>
      <c r="U90" t="n">
        <v>1.4</v>
      </c>
      <c r="V90" t="n">
        <v>17.1</v>
      </c>
      <c r="W90" t="n">
        <v>21.2</v>
      </c>
      <c r="X90" s="8" t="n">
        <v>1.85</v>
      </c>
      <c r="Y90" t="inlineStr">
        <is>
          <t>Yellow</t>
        </is>
      </c>
    </row>
    <row r="91">
      <c r="A91" s="9" t="inlineStr">
        <is>
          <t>20 Whitney Rd #101, Quincy, MA 02169</t>
        </is>
      </c>
      <c r="B91" t="inlineStr">
        <is>
          <t>Quincy</t>
        </is>
      </c>
      <c r="C91" s="6" t="inlineStr">
        <is>
          <t>https://www.redfin.com/MA/Quincy/20-Whitney-Rd-02169/unit-101/home/196906729</t>
        </is>
      </c>
      <c r="D91" s="7" t="n"/>
      <c r="E91" s="3" t="n">
        <v>499000</v>
      </c>
      <c r="F91" s="3" t="n">
        <v>0</v>
      </c>
      <c r="G91" t="n">
        <v>1</v>
      </c>
      <c r="H91" t="n">
        <v>1</v>
      </c>
      <c r="I91" s="4" t="n">
        <v>575</v>
      </c>
      <c r="J91" t="inlineStr">
        <is>
          <t>No</t>
        </is>
      </c>
      <c r="K91" t="inlineStr">
        <is>
          <t>Unknown</t>
        </is>
      </c>
      <c r="L91" s="3">
        <f>Assumptions!B3</f>
        <v/>
      </c>
      <c r="M91" s="3">
        <f>E91-L91</f>
        <v/>
      </c>
      <c r="N91" s="3">
        <f>-PMT(Assumptions!B2/12,Assumptions!B4*12,M91)</f>
        <v/>
      </c>
      <c r="O91" s="3">
        <f>E91*Assumptions!B5/12</f>
        <v/>
      </c>
      <c r="P91" s="3">
        <f>Assumptions!B6</f>
        <v/>
      </c>
      <c r="Q91" s="3">
        <f>Assumptions!B7+Assumptions!B8</f>
        <v/>
      </c>
      <c r="R91" s="3">
        <f>N91+F91+O91+P91+Q91</f>
        <v/>
      </c>
      <c r="S91" s="3" t="n">
        <v>0</v>
      </c>
      <c r="T91" s="3">
        <f>R91-S91*MAX(IFERROR(G91-1,0),0)</f>
        <v/>
      </c>
      <c r="U91" t="n">
        <v>1.4</v>
      </c>
      <c r="V91" t="n">
        <v>17.1</v>
      </c>
      <c r="W91" t="n">
        <v>21.2</v>
      </c>
      <c r="X91" s="8" t="n">
        <v>1.85</v>
      </c>
      <c r="Y91" t="inlineStr">
        <is>
          <t>Yellow</t>
        </is>
      </c>
    </row>
    <row r="92">
      <c r="A92" s="9" t="inlineStr">
        <is>
          <t>56 Ralph St #3, Watertown, MA 02472</t>
        </is>
      </c>
      <c r="B92" t="inlineStr">
        <is>
          <t>Watertown</t>
        </is>
      </c>
      <c r="C92" s="6" t="inlineStr">
        <is>
          <t>https://www.redfin.com/MA/Watertown/56-Ralph-St-02472/unit-3/home/57314411</t>
        </is>
      </c>
      <c r="D92" s="7" t="n"/>
      <c r="E92" s="3" t="n">
        <v>474900</v>
      </c>
      <c r="F92" s="3" t="n">
        <v>183</v>
      </c>
      <c r="G92" t="n">
        <v>1</v>
      </c>
      <c r="H92" t="n">
        <v>1</v>
      </c>
      <c r="I92" s="4" t="n">
        <v>983</v>
      </c>
      <c r="J92" t="inlineStr">
        <is>
          <t>No</t>
        </is>
      </c>
      <c r="K92" t="inlineStr">
        <is>
          <t>2 spaces</t>
        </is>
      </c>
      <c r="L92" s="3">
        <f>Assumptions!B3</f>
        <v/>
      </c>
      <c r="M92" s="3">
        <f>E92-L92</f>
        <v/>
      </c>
      <c r="N92" s="3">
        <f>-PMT(Assumptions!B2/12,Assumptions!B4*12,M92)</f>
        <v/>
      </c>
      <c r="O92" s="3">
        <f>E92*Assumptions!B5/12</f>
        <v/>
      </c>
      <c r="P92" s="3">
        <f>Assumptions!B6</f>
        <v/>
      </c>
      <c r="Q92" s="3">
        <f>Assumptions!B7+Assumptions!B8</f>
        <v/>
      </c>
      <c r="R92" s="3">
        <f>N92+F92+O92+P92+Q92</f>
        <v/>
      </c>
      <c r="S92" s="3" t="n">
        <v>0</v>
      </c>
      <c r="T92" s="3">
        <f>R92-S92*MAX(IFERROR(G92-1,0),0)</f>
        <v/>
      </c>
      <c r="U92" t="n">
        <v>8.9</v>
      </c>
      <c r="V92" t="n">
        <v>18.8</v>
      </c>
      <c r="W92" t="n">
        <v>16.4</v>
      </c>
      <c r="X92" s="8" t="n">
        <v>1.85</v>
      </c>
      <c r="Y92" t="inlineStr">
        <is>
          <t>Yellow</t>
        </is>
      </c>
    </row>
    <row r="93">
      <c r="A93" s="9" t="inlineStr">
        <is>
          <t>1945 Commonwealth Ave #4, Brighton, MA 02135</t>
        </is>
      </c>
      <c r="B93" t="inlineStr">
        <is>
          <t>Brighton</t>
        </is>
      </c>
      <c r="C93" s="6" t="inlineStr">
        <is>
          <t>https://www.redfin.com/MA/Brighton/1945-Commonwealth-Ave-02135/unit-4/home/9242382</t>
        </is>
      </c>
      <c r="D93" s="7" t="n"/>
      <c r="E93" s="3" t="n">
        <v>439000</v>
      </c>
      <c r="F93" s="3" t="n">
        <v>364</v>
      </c>
      <c r="G93" t="n">
        <v>1</v>
      </c>
      <c r="H93" t="n">
        <v>1</v>
      </c>
      <c r="I93" s="4" t="n">
        <v>605</v>
      </c>
      <c r="J93" t="inlineStr">
        <is>
          <t>No</t>
        </is>
      </c>
      <c r="K93" t="inlineStr">
        <is>
          <t>0 spaces</t>
        </is>
      </c>
      <c r="L93" s="3">
        <f>Assumptions!B3</f>
        <v/>
      </c>
      <c r="M93" s="3">
        <f>E93-L93</f>
        <v/>
      </c>
      <c r="N93" s="3">
        <f>-PMT(Assumptions!B2/12,Assumptions!B4*12,M93)</f>
        <v/>
      </c>
      <c r="O93" s="3">
        <f>E93*Assumptions!B5/12</f>
        <v/>
      </c>
      <c r="P93" s="3">
        <f>Assumptions!B6</f>
        <v/>
      </c>
      <c r="Q93" s="3">
        <f>Assumptions!B7+Assumptions!B8</f>
        <v/>
      </c>
      <c r="R93" s="3">
        <f>N93+F93+O93+P93+Q93</f>
        <v/>
      </c>
      <c r="S93" s="3" t="n">
        <v>0</v>
      </c>
      <c r="T93" s="3">
        <f>R93-S93*MAX(IFERROR(G93-1,0),0)</f>
        <v/>
      </c>
      <c r="U93" t="n">
        <v>1.8</v>
      </c>
      <c r="V93" t="n">
        <v>16.7</v>
      </c>
      <c r="W93" t="n">
        <v>15</v>
      </c>
      <c r="X93" s="8" t="n">
        <v>1.85</v>
      </c>
      <c r="Y93" t="inlineStr">
        <is>
          <t>Yellow</t>
        </is>
      </c>
    </row>
    <row r="94">
      <c r="A94" s="9" t="inlineStr">
        <is>
          <t>26 Chiswick Rd #6, Brighton, MA 02135</t>
        </is>
      </c>
      <c r="B94" t="inlineStr">
        <is>
          <t>Brighton</t>
        </is>
      </c>
      <c r="C94" s="6" t="inlineStr">
        <is>
          <t>https://www.redfin.com/MA/Brighton/26-Chiswick-Rd-02135/unit-6/home/9026723</t>
        </is>
      </c>
      <c r="D94" s="7" t="n"/>
      <c r="E94" s="3" t="n">
        <v>368000</v>
      </c>
      <c r="F94" s="3" t="n">
        <v>472</v>
      </c>
      <c r="G94" t="n">
        <v>1</v>
      </c>
      <c r="H94" t="n">
        <v>1</v>
      </c>
      <c r="I94" s="4" t="n">
        <v>470</v>
      </c>
      <c r="J94" t="inlineStr">
        <is>
          <t>No</t>
        </is>
      </c>
      <c r="K94" t="inlineStr">
        <is>
          <t>0 spaces</t>
        </is>
      </c>
      <c r="L94" s="3">
        <f>Assumptions!B3</f>
        <v/>
      </c>
      <c r="M94" s="3">
        <f>E94-L94</f>
        <v/>
      </c>
      <c r="N94" s="3">
        <f>-PMT(Assumptions!B2/12,Assumptions!B4*12,M94)</f>
        <v/>
      </c>
      <c r="O94" s="3">
        <f>E94*Assumptions!B5/12</f>
        <v/>
      </c>
      <c r="P94" s="3">
        <f>Assumptions!B6</f>
        <v/>
      </c>
      <c r="Q94" s="3">
        <f>Assumptions!B7+Assumptions!B8</f>
        <v/>
      </c>
      <c r="R94" s="3">
        <f>N94+F94+O94+P94+Q94</f>
        <v/>
      </c>
      <c r="S94" s="3" t="n">
        <v>0</v>
      </c>
      <c r="T94" s="3">
        <f>R94-S94*MAX(IFERROR(G94-1,0),0)</f>
        <v/>
      </c>
      <c r="U94" t="n">
        <v>1.4</v>
      </c>
      <c r="V94" t="n">
        <v>15.6</v>
      </c>
      <c r="W94" t="n">
        <v>13.8</v>
      </c>
      <c r="X94" s="8" t="n">
        <v>1.85</v>
      </c>
      <c r="Y94" t="inlineStr">
        <is>
          <t>Yellow</t>
        </is>
      </c>
    </row>
    <row r="95">
      <c r="A95" s="9" t="inlineStr">
        <is>
          <t>10 Washington Ave #3, Waltham, MA 02453</t>
        </is>
      </c>
      <c r="B95" t="inlineStr">
        <is>
          <t>Waltham</t>
        </is>
      </c>
      <c r="C95" s="6" t="inlineStr">
        <is>
          <t>https://www.redfin.com/MA/Waltham/10-Washington-Ave-02453/unit-3/home/69378071</t>
        </is>
      </c>
      <c r="D95" s="7" t="n"/>
      <c r="E95" s="3" t="n">
        <v>575000</v>
      </c>
      <c r="F95" s="3" t="n">
        <v>200</v>
      </c>
      <c r="G95" t="n">
        <v>2</v>
      </c>
      <c r="H95" t="n">
        <v>1</v>
      </c>
      <c r="I95" s="4" t="n">
        <v>1021</v>
      </c>
      <c r="J95" t="inlineStr">
        <is>
          <t>No</t>
        </is>
      </c>
      <c r="K95" t="inlineStr">
        <is>
          <t>1 space</t>
        </is>
      </c>
      <c r="L95" s="3">
        <f>Assumptions!B3</f>
        <v/>
      </c>
      <c r="M95" s="3">
        <f>E95-L95</f>
        <v/>
      </c>
      <c r="N95" s="3">
        <f>-PMT(Assumptions!B2/12,Assumptions!B4*12,M95)</f>
        <v/>
      </c>
      <c r="O95" s="3">
        <f>E95*Assumptions!B5/12</f>
        <v/>
      </c>
      <c r="P95" s="3">
        <f>Assumptions!B6</f>
        <v/>
      </c>
      <c r="Q95" s="3">
        <f>Assumptions!B7+Assumptions!B8</f>
        <v/>
      </c>
      <c r="R95" s="3">
        <f>N95+F95+O95+P95+Q95</f>
        <v/>
      </c>
      <c r="S95" s="3" t="n">
        <v>1235</v>
      </c>
      <c r="T95" s="3">
        <f>R95-S95*MAX(IFERROR(G95-1,0),0)</f>
        <v/>
      </c>
      <c r="U95" t="n">
        <v>6</v>
      </c>
      <c r="V95" t="n">
        <v>19.5</v>
      </c>
      <c r="W95" t="n">
        <v>20</v>
      </c>
      <c r="X95" s="8" t="n">
        <v>1.85</v>
      </c>
      <c r="Y95" t="inlineStr">
        <is>
          <t>Yellow</t>
        </is>
      </c>
    </row>
    <row r="96">
      <c r="A96" s="9" t="inlineStr">
        <is>
          <t>76 Taft Ave #1, West Newton, MA 02465</t>
        </is>
      </c>
      <c r="B96" t="inlineStr">
        <is>
          <t>Newton</t>
        </is>
      </c>
      <c r="C96" s="6" t="inlineStr">
        <is>
          <t>https://www.redfin.com/MA/West-Newton/76-Taft-Ave-02465/unit-1/home/11433253</t>
        </is>
      </c>
      <c r="D96" s="7" t="n"/>
      <c r="E96" s="3" t="n">
        <v>599000</v>
      </c>
      <c r="F96" s="3" t="n">
        <v>200</v>
      </c>
      <c r="G96" t="n">
        <v>2</v>
      </c>
      <c r="H96" t="n">
        <v>1</v>
      </c>
      <c r="I96" s="4" t="n">
        <v>862</v>
      </c>
      <c r="J96" t="inlineStr">
        <is>
          <t>No</t>
        </is>
      </c>
      <c r="K96" t="inlineStr">
        <is>
          <t>3 spaces</t>
        </is>
      </c>
      <c r="L96" s="3">
        <f>Assumptions!B3</f>
        <v/>
      </c>
      <c r="M96" s="3">
        <f>E96-L96</f>
        <v/>
      </c>
      <c r="N96" s="3">
        <f>-PMT(Assumptions!B2/12,Assumptions!B4*12,M96)</f>
        <v/>
      </c>
      <c r="O96" s="3">
        <f>E96*Assumptions!B5/12</f>
        <v/>
      </c>
      <c r="P96" s="3">
        <f>Assumptions!B6</f>
        <v/>
      </c>
      <c r="Q96" s="3">
        <f>Assumptions!B7+Assumptions!B8</f>
        <v/>
      </c>
      <c r="R96" s="3">
        <f>N96+F96+O96+P96+Q96</f>
        <v/>
      </c>
      <c r="S96" s="3" t="n">
        <v>1430</v>
      </c>
      <c r="T96" s="3">
        <f>R96-S96*MAX(IFERROR(G96-1,0),0)</f>
        <v/>
      </c>
      <c r="U96" t="n">
        <v>7.1</v>
      </c>
      <c r="V96" t="n">
        <v>18.1</v>
      </c>
      <c r="W96" t="n">
        <v>18.7</v>
      </c>
      <c r="X96" s="8" t="n">
        <v>1.85</v>
      </c>
      <c r="Y96" t="inlineStr">
        <is>
          <t>Yellow</t>
        </is>
      </c>
    </row>
    <row r="97">
      <c r="A97" s="9" t="inlineStr">
        <is>
          <t>28 Sidlaw Rd #2, Brighton, MA 02135</t>
        </is>
      </c>
      <c r="B97" t="inlineStr">
        <is>
          <t>Brighton</t>
        </is>
      </c>
      <c r="C97" s="6" t="inlineStr">
        <is>
          <t>https://www.redfin.com/MA/Brighton/28-Sidlaw-Rd-02135/unit-2/home/9007059</t>
        </is>
      </c>
      <c r="D97" s="7" t="n"/>
      <c r="E97" s="3" t="n">
        <v>399900</v>
      </c>
      <c r="F97" s="3" t="n">
        <v>414</v>
      </c>
      <c r="G97" t="n">
        <v>1</v>
      </c>
      <c r="H97" t="n">
        <v>1</v>
      </c>
      <c r="I97" s="4" t="n">
        <v>638</v>
      </c>
      <c r="J97" t="inlineStr">
        <is>
          <t>No</t>
        </is>
      </c>
      <c r="K97" t="inlineStr">
        <is>
          <t>0 spaces</t>
        </is>
      </c>
      <c r="L97" s="3">
        <f>Assumptions!B3</f>
        <v/>
      </c>
      <c r="M97" s="3">
        <f>E97-L97</f>
        <v/>
      </c>
      <c r="N97" s="3">
        <f>-PMT(Assumptions!B2/12,Assumptions!B4*12,M97)</f>
        <v/>
      </c>
      <c r="O97" s="3">
        <f>E97*Assumptions!B5/12</f>
        <v/>
      </c>
      <c r="P97" s="3">
        <f>Assumptions!B6</f>
        <v/>
      </c>
      <c r="Q97" s="3">
        <f>Assumptions!B7+Assumptions!B8</f>
        <v/>
      </c>
      <c r="R97" s="3">
        <f>N97+F97+O97+P97+Q97</f>
        <v/>
      </c>
      <c r="S97" s="3" t="n">
        <v>0</v>
      </c>
      <c r="T97" s="3">
        <f>R97-S97*MAX(IFERROR(G97-1,0),0)</f>
        <v/>
      </c>
      <c r="U97" t="n">
        <v>1.2</v>
      </c>
      <c r="V97" t="n">
        <v>16.1</v>
      </c>
      <c r="W97" t="n">
        <v>14.5</v>
      </c>
      <c r="X97" s="8" t="n">
        <v>1.85</v>
      </c>
      <c r="Y97" t="inlineStr">
        <is>
          <t>Yellow</t>
        </is>
      </c>
    </row>
    <row r="98">
      <c r="A98" s="9" t="inlineStr">
        <is>
          <t>388 Washington St #101, Quincy, MA 02169</t>
        </is>
      </c>
      <c r="B98" t="inlineStr">
        <is>
          <t>Quincy</t>
        </is>
      </c>
      <c r="C98" s="6" t="inlineStr">
        <is>
          <t>https://www.redfin.com/MA/Quincy/388-Washington-St-02169/unit-101/home/201094286</t>
        </is>
      </c>
      <c r="D98" s="7" t="n"/>
      <c r="E98" s="3" t="n">
        <v>599000</v>
      </c>
      <c r="F98" s="3" t="n">
        <v>375</v>
      </c>
      <c r="G98" t="n">
        <v>2</v>
      </c>
      <c r="H98" t="n">
        <v>2</v>
      </c>
      <c r="I98" s="4" t="n">
        <v>983</v>
      </c>
      <c r="J98" t="inlineStr">
        <is>
          <t>No</t>
        </is>
      </c>
      <c r="K98" t="inlineStr">
        <is>
          <t>1 space</t>
        </is>
      </c>
      <c r="L98" s="3">
        <f>Assumptions!B3</f>
        <v/>
      </c>
      <c r="M98" s="3">
        <f>E98-L98</f>
        <v/>
      </c>
      <c r="N98" s="3">
        <f>-PMT(Assumptions!B2/12,Assumptions!B4*12,M98)</f>
        <v/>
      </c>
      <c r="O98" s="3">
        <f>E98*Assumptions!B5/12</f>
        <v/>
      </c>
      <c r="P98" s="3">
        <f>Assumptions!B6</f>
        <v/>
      </c>
      <c r="Q98" s="3">
        <f>Assumptions!B7+Assumptions!B8</f>
        <v/>
      </c>
      <c r="R98" s="3">
        <f>N98+F98+O98+P98+Q98</f>
        <v/>
      </c>
      <c r="S98" s="3" t="n">
        <v>1170</v>
      </c>
      <c r="T98" s="3">
        <f>R98-S98*MAX(IFERROR(G98-1,0),0)</f>
        <v/>
      </c>
      <c r="U98" t="n">
        <v>2.7</v>
      </c>
      <c r="V98" t="n">
        <v>18.8</v>
      </c>
      <c r="W98" t="n">
        <v>22.9</v>
      </c>
      <c r="X98" s="8" t="n">
        <v>1.85</v>
      </c>
      <c r="Y98" t="inlineStr">
        <is>
          <t>Yellow</t>
        </is>
      </c>
    </row>
    <row r="99">
      <c r="A99" s="9" t="inlineStr">
        <is>
          <t>16 Littlefield St, Quincy, MA 02169</t>
        </is>
      </c>
      <c r="B99" t="inlineStr">
        <is>
          <t>Quincy</t>
        </is>
      </c>
      <c r="C99" s="6" t="inlineStr">
        <is>
          <t>https://www.redfin.com/MA/Quincy/16-Littlefield-St-02169/home/8913868</t>
        </is>
      </c>
      <c r="D99" s="7" t="n"/>
      <c r="E99" s="3" t="n">
        <v>567000</v>
      </c>
      <c r="F99" s="3" t="n">
        <v>0</v>
      </c>
      <c r="G99" t="n">
        <v>4</v>
      </c>
      <c r="H99" t="n">
        <v>1.5</v>
      </c>
      <c r="I99" s="4" t="n">
        <v>1274</v>
      </c>
      <c r="J99" t="inlineStr">
        <is>
          <t>No</t>
        </is>
      </c>
      <c r="K99" t="inlineStr">
        <is>
          <t>4 spaces</t>
        </is>
      </c>
      <c r="L99" s="3">
        <f>Assumptions!B3</f>
        <v/>
      </c>
      <c r="M99" s="3">
        <f>E99-L99</f>
        <v/>
      </c>
      <c r="N99" s="3">
        <f>-PMT(Assumptions!B2/12,Assumptions!B4*12,M99)</f>
        <v/>
      </c>
      <c r="O99" s="3">
        <f>E99*Assumptions!B5/12</f>
        <v/>
      </c>
      <c r="P99" s="3">
        <f>Assumptions!B6</f>
        <v/>
      </c>
      <c r="Q99" s="3">
        <f>Assumptions!B7+Assumptions!B8</f>
        <v/>
      </c>
      <c r="R99" s="3">
        <f>N99+F99+O99+P99+Q99</f>
        <v/>
      </c>
      <c r="S99" s="3" t="n">
        <v>1170</v>
      </c>
      <c r="T99" s="3">
        <f>R99-S99*MAX(IFERROR(G99-1,0),0)</f>
        <v/>
      </c>
      <c r="U99" t="n">
        <v>8.699999999999999</v>
      </c>
      <c r="V99" t="n">
        <v>23.6</v>
      </c>
      <c r="W99" t="n">
        <v>27.7</v>
      </c>
      <c r="X99" s="8" t="n">
        <v>1.85</v>
      </c>
      <c r="Y99" t="inlineStr">
        <is>
          <t>Yellow</t>
        </is>
      </c>
    </row>
    <row r="100">
      <c r="A100" s="9" t="inlineStr">
        <is>
          <t>200 Falls Blvd Unit E101, Quincy, MA 02169</t>
        </is>
      </c>
      <c r="B100" t="inlineStr">
        <is>
          <t>Quincy</t>
        </is>
      </c>
      <c r="C100" s="6" t="inlineStr">
        <is>
          <t>https://www.redfin.com/MA/Quincy/200-Falls-Blvd-02169/unit-E101/home/11496568</t>
        </is>
      </c>
      <c r="D100" s="7" t="n"/>
      <c r="E100" s="3" t="n">
        <v>449000</v>
      </c>
      <c r="F100" s="3" t="n">
        <v>494</v>
      </c>
      <c r="G100" t="n">
        <v>2</v>
      </c>
      <c r="H100" t="n">
        <v>2</v>
      </c>
      <c r="I100" s="4" t="n">
        <v>774</v>
      </c>
      <c r="J100" t="inlineStr">
        <is>
          <t>No</t>
        </is>
      </c>
      <c r="K100" t="inlineStr">
        <is>
          <t>1 space</t>
        </is>
      </c>
      <c r="L100" s="3">
        <f>Assumptions!B3</f>
        <v/>
      </c>
      <c r="M100" s="3">
        <f>E100-L100</f>
        <v/>
      </c>
      <c r="N100" s="3">
        <f>-PMT(Assumptions!B2/12,Assumptions!B4*12,M100)</f>
        <v/>
      </c>
      <c r="O100" s="3">
        <f>E100*Assumptions!B5/12</f>
        <v/>
      </c>
      <c r="P100" s="3">
        <f>Assumptions!B6</f>
        <v/>
      </c>
      <c r="Q100" s="3">
        <f>Assumptions!B7+Assumptions!B8</f>
        <v/>
      </c>
      <c r="R100" s="3">
        <f>N100+F100+O100+P100+Q100</f>
        <v/>
      </c>
      <c r="S100" s="3" t="n">
        <v>1170</v>
      </c>
      <c r="T100" s="3">
        <f>R100-S100*MAX(IFERROR(G100-1,0),0)</f>
        <v/>
      </c>
      <c r="U100" t="n">
        <v>7.2</v>
      </c>
      <c r="V100" t="n">
        <v>21.8</v>
      </c>
      <c r="W100" t="n">
        <v>25.9</v>
      </c>
      <c r="X100" s="8" t="n">
        <v>1.85</v>
      </c>
      <c r="Y100" t="inlineStr">
        <is>
          <t>Yellow</t>
        </is>
      </c>
    </row>
    <row r="101">
      <c r="A101" s="9" t="inlineStr">
        <is>
          <t>70 Strathmore Rd Unit 10A, Brighton, MA 02135</t>
        </is>
      </c>
      <c r="B101" t="inlineStr">
        <is>
          <t>Brighton</t>
        </is>
      </c>
      <c r="C101" s="6" t="inlineStr">
        <is>
          <t>https://www.redfin.com/MA/Brighton/70-Strathmore-Rd-02135/unit-10A/home/9028575</t>
        </is>
      </c>
      <c r="D101" s="7" t="n"/>
      <c r="E101" s="3" t="n">
        <v>349500</v>
      </c>
      <c r="F101" s="3" t="n">
        <v>421</v>
      </c>
      <c r="G101" t="n">
        <v>1</v>
      </c>
      <c r="H101" t="n">
        <v>1</v>
      </c>
      <c r="I101" s="4" t="n">
        <v>435</v>
      </c>
      <c r="J101" t="inlineStr">
        <is>
          <t>No</t>
        </is>
      </c>
      <c r="K101" t="inlineStr">
        <is>
          <t>0 spaces</t>
        </is>
      </c>
      <c r="L101" s="3">
        <f>Assumptions!B3</f>
        <v/>
      </c>
      <c r="M101" s="3">
        <f>E101-L101</f>
        <v/>
      </c>
      <c r="N101" s="3">
        <f>-PMT(Assumptions!B2/12,Assumptions!B4*12,M101)</f>
        <v/>
      </c>
      <c r="O101" s="3">
        <f>E101*Assumptions!B5/12</f>
        <v/>
      </c>
      <c r="P101" s="3">
        <f>Assumptions!B6</f>
        <v/>
      </c>
      <c r="Q101" s="3">
        <f>Assumptions!B7+Assumptions!B8</f>
        <v/>
      </c>
      <c r="R101" s="3">
        <f>N101+F101+O101+P101+Q101</f>
        <v/>
      </c>
      <c r="S101" s="3" t="n">
        <v>0</v>
      </c>
      <c r="T101" s="3">
        <f>R101-S101*MAX(IFERROR(G101-1,0),0)</f>
        <v/>
      </c>
      <c r="U101" t="n">
        <v>0.6</v>
      </c>
      <c r="V101" t="n">
        <v>16</v>
      </c>
      <c r="W101" t="n">
        <v>13.4</v>
      </c>
      <c r="X101" s="8" t="n">
        <v>1.85</v>
      </c>
      <c r="Y101" t="inlineStr">
        <is>
          <t>Yellow</t>
        </is>
      </c>
    </row>
    <row r="102">
      <c r="A102" s="9" t="inlineStr">
        <is>
          <t>370 Chestnut Hl #3, Brighton, MA 02135</t>
        </is>
      </c>
      <c r="B102" t="inlineStr">
        <is>
          <t>Brighton</t>
        </is>
      </c>
      <c r="C102" s="6" t="inlineStr">
        <is>
          <t>https://www.redfin.com/MA/Brighton/370-Chestnut-Hill-Ave-02135/unit-3/home/39912751</t>
        </is>
      </c>
      <c r="D102" s="7" t="n"/>
      <c r="E102" s="3" t="n">
        <v>529000</v>
      </c>
      <c r="F102" s="3" t="n">
        <v>499</v>
      </c>
      <c r="G102" t="n">
        <v>2</v>
      </c>
      <c r="H102" t="n">
        <v>1</v>
      </c>
      <c r="I102" s="4" t="n">
        <v>730</v>
      </c>
      <c r="J102" t="inlineStr">
        <is>
          <t>No</t>
        </is>
      </c>
      <c r="K102" t="inlineStr">
        <is>
          <t>0 spaces</t>
        </is>
      </c>
      <c r="L102" s="3">
        <f>Assumptions!B3</f>
        <v/>
      </c>
      <c r="M102" s="3">
        <f>E102-L102</f>
        <v/>
      </c>
      <c r="N102" s="3">
        <f>-PMT(Assumptions!B2/12,Assumptions!B4*12,M102)</f>
        <v/>
      </c>
      <c r="O102" s="3">
        <f>E102*Assumptions!B5/12</f>
        <v/>
      </c>
      <c r="P102" s="3">
        <f>Assumptions!B6</f>
        <v/>
      </c>
      <c r="Q102" s="3">
        <f>Assumptions!B7+Assumptions!B8</f>
        <v/>
      </c>
      <c r="R102" s="3">
        <f>N102+F102+O102+P102+Q102</f>
        <v/>
      </c>
      <c r="S102" s="3" t="n">
        <v>1300</v>
      </c>
      <c r="T102" s="3">
        <f>R102-S102*MAX(IFERROR(G102-1,0),0)</f>
        <v/>
      </c>
      <c r="U102" t="n">
        <v>0.1</v>
      </c>
      <c r="V102" t="n">
        <v>16.3</v>
      </c>
      <c r="W102" t="n">
        <v>13.4</v>
      </c>
      <c r="X102" s="8" t="n">
        <v>1.85</v>
      </c>
      <c r="Y102" t="inlineStr">
        <is>
          <t>Yellow</t>
        </is>
      </c>
    </row>
    <row r="103">
      <c r="A103" s="9" t="inlineStr">
        <is>
          <t>10 Washington Ave #2, Waltham, MA 02453</t>
        </is>
      </c>
      <c r="B103" t="inlineStr">
        <is>
          <t>Waltham</t>
        </is>
      </c>
      <c r="C103" s="6" t="inlineStr">
        <is>
          <t>https://www.redfin.com/MA/Waltham/10-Washington-Ave-02453/unit-2/home/77522479</t>
        </is>
      </c>
      <c r="D103" s="7" t="n"/>
      <c r="E103" s="3" t="n">
        <v>540000</v>
      </c>
      <c r="F103" s="3" t="n">
        <v>200</v>
      </c>
      <c r="G103" t="n">
        <v>2</v>
      </c>
      <c r="H103" t="n">
        <v>1</v>
      </c>
      <c r="I103" s="4" t="n">
        <v>934</v>
      </c>
      <c r="J103" t="inlineStr">
        <is>
          <t>No</t>
        </is>
      </c>
      <c r="K103" t="inlineStr">
        <is>
          <t>1 space</t>
        </is>
      </c>
      <c r="L103" s="3">
        <f>Assumptions!B3</f>
        <v/>
      </c>
      <c r="M103" s="3">
        <f>E103-L103</f>
        <v/>
      </c>
      <c r="N103" s="3">
        <f>-PMT(Assumptions!B2/12,Assumptions!B4*12,M103)</f>
        <v/>
      </c>
      <c r="O103" s="3">
        <f>E103*Assumptions!B5/12</f>
        <v/>
      </c>
      <c r="P103" s="3">
        <f>Assumptions!B6</f>
        <v/>
      </c>
      <c r="Q103" s="3">
        <f>Assumptions!B7+Assumptions!B8</f>
        <v/>
      </c>
      <c r="R103" s="3">
        <f>N103+F103+O103+P103+Q103</f>
        <v/>
      </c>
      <c r="S103" s="3" t="n">
        <v>1235</v>
      </c>
      <c r="T103" s="3">
        <f>R103-S103*MAX(IFERROR(G103-1,0),0)</f>
        <v/>
      </c>
      <c r="U103" t="n">
        <v>6</v>
      </c>
      <c r="V103" t="n">
        <v>19.5</v>
      </c>
      <c r="W103" t="n">
        <v>20</v>
      </c>
      <c r="X103" s="8" t="n">
        <v>1.85</v>
      </c>
      <c r="Y103" t="inlineStr">
        <is>
          <t>Yellow</t>
        </is>
      </c>
    </row>
    <row r="104">
      <c r="A104" s="9" t="inlineStr">
        <is>
          <t>1 Clayton St #1, Watertown, MA 02472</t>
        </is>
      </c>
      <c r="B104" t="inlineStr">
        <is>
          <t>Watertown</t>
        </is>
      </c>
      <c r="C104" s="6" t="inlineStr">
        <is>
          <t>https://www.redfin.com/MA/Watertown/1-Clayton-St-02472/unit-1/home/113239262</t>
        </is>
      </c>
      <c r="D104" s="7" t="n"/>
      <c r="E104" s="3" t="n">
        <v>539000</v>
      </c>
      <c r="F104" s="3" t="n">
        <v>220</v>
      </c>
      <c r="G104" t="n">
        <v>2</v>
      </c>
      <c r="H104" t="n">
        <v>1</v>
      </c>
      <c r="I104" s="4" t="n">
        <v>953</v>
      </c>
      <c r="J104" t="inlineStr">
        <is>
          <t>No</t>
        </is>
      </c>
      <c r="K104" t="inlineStr">
        <is>
          <t>1 space</t>
        </is>
      </c>
      <c r="L104" s="3">
        <f>Assumptions!B3</f>
        <v/>
      </c>
      <c r="M104" s="3">
        <f>E104-L104</f>
        <v/>
      </c>
      <c r="N104" s="3">
        <f>-PMT(Assumptions!B2/12,Assumptions!B4*12,M104)</f>
        <v/>
      </c>
      <c r="O104" s="3">
        <f>E104*Assumptions!B5/12</f>
        <v/>
      </c>
      <c r="P104" s="3">
        <f>Assumptions!B6</f>
        <v/>
      </c>
      <c r="Q104" s="3">
        <f>Assumptions!B7+Assumptions!B8</f>
        <v/>
      </c>
      <c r="R104" s="3">
        <f>N104+F104+O104+P104+Q104</f>
        <v/>
      </c>
      <c r="S104" s="3" t="n">
        <v>1365</v>
      </c>
      <c r="T104" s="3">
        <f>R104-S104*MAX(IFERROR(G104-1,0),0)</f>
        <v/>
      </c>
      <c r="U104" t="n">
        <v>6.3</v>
      </c>
      <c r="V104" t="n">
        <v>15.4</v>
      </c>
      <c r="W104" t="n">
        <v>13</v>
      </c>
      <c r="X104" s="8" t="n">
        <v>1.85</v>
      </c>
      <c r="Y104" t="inlineStr">
        <is>
          <t>Yellow</t>
        </is>
      </c>
    </row>
    <row r="105">
      <c r="A105" s="9" t="inlineStr">
        <is>
          <t>26 Waverly St #202, Brighton, MA 02135</t>
        </is>
      </c>
      <c r="B105" t="inlineStr">
        <is>
          <t>Brighton</t>
        </is>
      </c>
      <c r="C105" s="6" t="inlineStr">
        <is>
          <t>https://www.redfin.com/MA/Brighton/26-Waverly-St-02135/unit-202/home/9010573</t>
        </is>
      </c>
      <c r="D105" s="7" t="inlineStr">
        <is>
          <t>2026-04-10</t>
        </is>
      </c>
      <c r="E105" s="3" t="n">
        <v>473900</v>
      </c>
      <c r="F105" s="3" t="n">
        <v>409</v>
      </c>
      <c r="G105" t="n">
        <v>1</v>
      </c>
      <c r="H105" t="n">
        <v>1</v>
      </c>
      <c r="I105" s="4" t="n">
        <v>690</v>
      </c>
      <c r="J105" t="inlineStr">
        <is>
          <t>No</t>
        </is>
      </c>
      <c r="K105" t="inlineStr">
        <is>
          <t>1 space</t>
        </is>
      </c>
      <c r="L105" s="3">
        <f>Assumptions!B3</f>
        <v/>
      </c>
      <c r="M105" s="3">
        <f>E105-L105</f>
        <v/>
      </c>
      <c r="N105" s="3">
        <f>-PMT(Assumptions!B2/12,Assumptions!B4*12,M105)</f>
        <v/>
      </c>
      <c r="O105" s="3">
        <f>E105*Assumptions!B5/12</f>
        <v/>
      </c>
      <c r="P105" s="3">
        <f>Assumptions!B6</f>
        <v/>
      </c>
      <c r="Q105" s="3">
        <f>Assumptions!B7+Assumptions!B8</f>
        <v/>
      </c>
      <c r="R105" s="3">
        <f>N105+F105+O105+P105+Q105</f>
        <v/>
      </c>
      <c r="S105" s="3" t="n">
        <v>0</v>
      </c>
      <c r="T105" s="3">
        <f>R105-S105*MAX(IFERROR(G105-1,0),0)</f>
        <v/>
      </c>
      <c r="U105" t="n">
        <v>5.9</v>
      </c>
      <c r="V105" t="n">
        <v>12.5</v>
      </c>
      <c r="W105" t="n">
        <v>12.2</v>
      </c>
      <c r="X105" s="8" t="n">
        <v>1.85</v>
      </c>
      <c r="Y105" t="inlineStr">
        <is>
          <t>Yellow</t>
        </is>
      </c>
    </row>
    <row r="106">
      <c r="A106" s="9" t="inlineStr">
        <is>
          <t>191 Washington St #317, Boston, MA 02135</t>
        </is>
      </c>
      <c r="B106" t="inlineStr">
        <is>
          <t>Brighton</t>
        </is>
      </c>
      <c r="C106" s="6" t="inlineStr">
        <is>
          <t>https://www.redfin.com/MA/Boston/191-Washington-St-02135/unit-317/home/176134081</t>
        </is>
      </c>
      <c r="D106" s="7" t="n"/>
      <c r="E106" s="3" t="n">
        <v>535000</v>
      </c>
      <c r="F106" s="3" t="n">
        <v>457</v>
      </c>
      <c r="G106" t="n">
        <v>1</v>
      </c>
      <c r="H106" t="n">
        <v>1</v>
      </c>
      <c r="I106" s="4" t="n">
        <v>498</v>
      </c>
      <c r="J106" t="inlineStr">
        <is>
          <t>No</t>
        </is>
      </c>
      <c r="K106" t="inlineStr">
        <is>
          <t>0 spaces</t>
        </is>
      </c>
      <c r="L106" s="3">
        <f>Assumptions!B3</f>
        <v/>
      </c>
      <c r="M106" s="3">
        <f>E106-L106</f>
        <v/>
      </c>
      <c r="N106" s="3">
        <f>-PMT(Assumptions!B2/12,Assumptions!B4*12,M106)</f>
        <v/>
      </c>
      <c r="O106" s="3">
        <f>E106*Assumptions!B5/12</f>
        <v/>
      </c>
      <c r="P106" s="3">
        <f>Assumptions!B6</f>
        <v/>
      </c>
      <c r="Q106" s="3">
        <f>Assumptions!B7+Assumptions!B8</f>
        <v/>
      </c>
      <c r="R106" s="3">
        <f>N106+F106+O106+P106+Q106</f>
        <v/>
      </c>
      <c r="S106" s="3" t="n">
        <v>0</v>
      </c>
      <c r="T106" s="3">
        <f>R106-S106*MAX(IFERROR(G106-1,0),0)</f>
        <v/>
      </c>
      <c r="U106" t="n">
        <v>1.3</v>
      </c>
      <c r="V106" t="n">
        <v>13.8</v>
      </c>
      <c r="W106" t="n">
        <v>13.4</v>
      </c>
      <c r="X106" s="8" t="n">
        <v>1.8</v>
      </c>
      <c r="Y106" t="inlineStr">
        <is>
          <t>Yellow</t>
        </is>
      </c>
    </row>
    <row r="107">
      <c r="A107" s="9" t="inlineStr">
        <is>
          <t>51 Park Dr #25, Boston, MA 02215</t>
        </is>
      </c>
      <c r="B107" t="inlineStr">
        <is>
          <t>Brookline</t>
        </is>
      </c>
      <c r="C107" s="6" t="inlineStr">
        <is>
          <t>https://www.redfin.com/MA/Boston/51-Park-Dr-02215/unit-25/home/9273877</t>
        </is>
      </c>
      <c r="D107" s="7" t="n"/>
      <c r="E107" s="3" t="n">
        <v>550000</v>
      </c>
      <c r="F107" s="3" t="n">
        <v>485</v>
      </c>
      <c r="G107" t="n">
        <v>1</v>
      </c>
      <c r="H107" t="n">
        <v>1</v>
      </c>
      <c r="I107" s="4" t="n">
        <v>534</v>
      </c>
      <c r="J107" t="inlineStr">
        <is>
          <t>No</t>
        </is>
      </c>
      <c r="K107" t="inlineStr">
        <is>
          <t>0 spaces</t>
        </is>
      </c>
      <c r="L107" s="3">
        <f>Assumptions!B3</f>
        <v/>
      </c>
      <c r="M107" s="3">
        <f>E107-L107</f>
        <v/>
      </c>
      <c r="N107" s="3">
        <f>-PMT(Assumptions!B2/12,Assumptions!B4*12,M107)</f>
        <v/>
      </c>
      <c r="O107" s="3">
        <f>E107*Assumptions!B5/12</f>
        <v/>
      </c>
      <c r="P107" s="3">
        <f>Assumptions!B6</f>
        <v/>
      </c>
      <c r="Q107" s="3">
        <f>Assumptions!B7+Assumptions!B8</f>
        <v/>
      </c>
      <c r="R107" s="3">
        <f>N107+F107+O107+P107+Q107</f>
        <v/>
      </c>
      <c r="S107" s="3" t="n">
        <v>0</v>
      </c>
      <c r="T107" s="3">
        <f>R107-S107*MAX(IFERROR(G107-1,0),0)</f>
        <v/>
      </c>
      <c r="U107" t="n">
        <v>2</v>
      </c>
      <c r="V107" t="n">
        <v>10.9</v>
      </c>
      <c r="W107" t="n">
        <v>8.699999999999999</v>
      </c>
      <c r="X107" s="8" t="n">
        <v>1.8</v>
      </c>
      <c r="Y107" t="inlineStr">
        <is>
          <t>Yellow</t>
        </is>
      </c>
    </row>
    <row r="108">
      <c r="A108" s="9" t="inlineStr">
        <is>
          <t>231 Lowell St #2, Waltham, MA 02453</t>
        </is>
      </c>
      <c r="B108" t="inlineStr">
        <is>
          <t>Waltham</t>
        </is>
      </c>
      <c r="C108" s="6" t="inlineStr">
        <is>
          <t>https://www.redfin.com/MA/Waltham/231-Lowell-St-02453/unit-2/home/11822485</t>
        </is>
      </c>
      <c r="D108" s="7" t="inlineStr">
        <is>
          <t>2026-04-08</t>
        </is>
      </c>
      <c r="E108" s="3" t="n">
        <v>589900</v>
      </c>
      <c r="F108" s="3" t="n">
        <v>375</v>
      </c>
      <c r="G108" t="n">
        <v>2</v>
      </c>
      <c r="H108" t="n">
        <v>1</v>
      </c>
      <c r="I108" s="4" t="n">
        <v>973</v>
      </c>
      <c r="J108" t="inlineStr">
        <is>
          <t>No</t>
        </is>
      </c>
      <c r="K108" t="inlineStr">
        <is>
          <t>2 spaces</t>
        </is>
      </c>
      <c r="L108" s="3">
        <f>Assumptions!B3</f>
        <v/>
      </c>
      <c r="M108" s="3">
        <f>E108-L108</f>
        <v/>
      </c>
      <c r="N108" s="3">
        <f>-PMT(Assumptions!B2/12,Assumptions!B4*12,M108)</f>
        <v/>
      </c>
      <c r="O108" s="3">
        <f>E108*Assumptions!B5/12</f>
        <v/>
      </c>
      <c r="P108" s="3">
        <f>Assumptions!B6</f>
        <v/>
      </c>
      <c r="Q108" s="3">
        <f>Assumptions!B7+Assumptions!B8</f>
        <v/>
      </c>
      <c r="R108" s="3">
        <f>N108+F108+O108+P108+Q108</f>
        <v/>
      </c>
      <c r="S108" s="3" t="n">
        <v>1235</v>
      </c>
      <c r="T108" s="3">
        <f>R108-S108*MAX(IFERROR(G108-1,0),0)</f>
        <v/>
      </c>
      <c r="U108" t="n">
        <v>6.3</v>
      </c>
      <c r="V108" t="n">
        <v>19.7</v>
      </c>
      <c r="W108" t="n">
        <v>20.3</v>
      </c>
      <c r="X108" s="8" t="n">
        <v>1.8</v>
      </c>
      <c r="Y108" t="inlineStr">
        <is>
          <t>Yellow</t>
        </is>
      </c>
    </row>
    <row r="109">
      <c r="A109" s="9" t="inlineStr">
        <is>
          <t>189 Chestnut Hill Ave #14, Brighton, MA 02135</t>
        </is>
      </c>
      <c r="B109" t="inlineStr">
        <is>
          <t>Brighton</t>
        </is>
      </c>
      <c r="C109" s="6" t="inlineStr">
        <is>
          <t>https://www.redfin.com/MA/Brighton/189-Chestnut-Hill-Ave-02135/unit-14/home/9036897</t>
        </is>
      </c>
      <c r="D109" s="7" t="inlineStr">
        <is>
          <t>2026-04-09</t>
        </is>
      </c>
      <c r="E109" s="3" t="n">
        <v>349900</v>
      </c>
      <c r="F109" s="3" t="n">
        <v>403</v>
      </c>
      <c r="G109" t="n">
        <v>1</v>
      </c>
      <c r="H109" t="n">
        <v>1</v>
      </c>
      <c r="I109" s="4" t="n">
        <v>395</v>
      </c>
      <c r="J109" t="inlineStr">
        <is>
          <t>No</t>
        </is>
      </c>
      <c r="K109" t="inlineStr">
        <is>
          <t>0 spaces</t>
        </is>
      </c>
      <c r="L109" s="3">
        <f>Assumptions!B3</f>
        <v/>
      </c>
      <c r="M109" s="3">
        <f>E109-L109</f>
        <v/>
      </c>
      <c r="N109" s="3">
        <f>-PMT(Assumptions!B2/12,Assumptions!B4*12,M109)</f>
        <v/>
      </c>
      <c r="O109" s="3">
        <f>E109*Assumptions!B5/12</f>
        <v/>
      </c>
      <c r="P109" s="3">
        <f>Assumptions!B6</f>
        <v/>
      </c>
      <c r="Q109" s="3">
        <f>Assumptions!B7+Assumptions!B8</f>
        <v/>
      </c>
      <c r="R109" s="3">
        <f>N109+F109+O109+P109+Q109</f>
        <v/>
      </c>
      <c r="S109" s="3" t="n">
        <v>0</v>
      </c>
      <c r="T109" s="3">
        <f>R109-S109*MAX(IFERROR(G109-1,0),0)</f>
        <v/>
      </c>
      <c r="U109" t="n">
        <v>2.7</v>
      </c>
      <c r="V109" t="n">
        <v>15.7</v>
      </c>
      <c r="W109" t="n">
        <v>15.4</v>
      </c>
      <c r="X109" s="8" t="n">
        <v>1.8</v>
      </c>
      <c r="Y109" t="inlineStr">
        <is>
          <t>Yellow</t>
        </is>
      </c>
    </row>
    <row r="110">
      <c r="A110" s="9" t="inlineStr">
        <is>
          <t>48 Strathmore Rd #26, Brighton, MA 02135</t>
        </is>
      </c>
      <c r="B110" t="inlineStr">
        <is>
          <t>Brighton</t>
        </is>
      </c>
      <c r="C110" s="6" t="inlineStr">
        <is>
          <t>https://www.redfin.com/MA/Brighton/48-Strathmore-Rd-02135/unit-26/home/9028847</t>
        </is>
      </c>
      <c r="D110" s="7" t="inlineStr">
        <is>
          <t>2026-04-08</t>
        </is>
      </c>
      <c r="E110" s="3" t="n">
        <v>425000</v>
      </c>
      <c r="F110" s="3" t="n">
        <v>473</v>
      </c>
      <c r="G110" t="n">
        <v>1</v>
      </c>
      <c r="H110" t="n">
        <v>1</v>
      </c>
      <c r="I110" s="4" t="n">
        <v>652</v>
      </c>
      <c r="J110" t="inlineStr">
        <is>
          <t>No</t>
        </is>
      </c>
      <c r="K110" t="inlineStr">
        <is>
          <t>0 spaces</t>
        </is>
      </c>
      <c r="L110" s="3">
        <f>Assumptions!B3</f>
        <v/>
      </c>
      <c r="M110" s="3">
        <f>E110-L110</f>
        <v/>
      </c>
      <c r="N110" s="3">
        <f>-PMT(Assumptions!B2/12,Assumptions!B4*12,M110)</f>
        <v/>
      </c>
      <c r="O110" s="3">
        <f>E110*Assumptions!B5/12</f>
        <v/>
      </c>
      <c r="P110" s="3">
        <f>Assumptions!B6</f>
        <v/>
      </c>
      <c r="Q110" s="3">
        <f>Assumptions!B7+Assumptions!B8</f>
        <v/>
      </c>
      <c r="R110" s="3">
        <f>N110+F110+O110+P110+Q110</f>
        <v/>
      </c>
      <c r="S110" s="3" t="n">
        <v>0</v>
      </c>
      <c r="T110" s="3">
        <f>R110-S110*MAX(IFERROR(G110-1,0),0)</f>
        <v/>
      </c>
      <c r="U110" t="n">
        <v>0.3</v>
      </c>
      <c r="V110" t="n">
        <v>16.2</v>
      </c>
      <c r="W110" t="n">
        <v>13.1</v>
      </c>
      <c r="X110" s="8" t="n">
        <v>1.8</v>
      </c>
      <c r="Y110" t="inlineStr">
        <is>
          <t>Yellow</t>
        </is>
      </c>
    </row>
    <row r="111">
      <c r="A111" s="9" t="inlineStr">
        <is>
          <t>1870 Commonwealth Ave #1, Brighton, MA 02135</t>
        </is>
      </c>
      <c r="B111" t="inlineStr">
        <is>
          <t>Brighton</t>
        </is>
      </c>
      <c r="C111" s="6" t="inlineStr">
        <is>
          <t>https://www.redfin.com/MA/Brighton/1870-Commonwealth-Ave-02135/unit-1/home/9027994</t>
        </is>
      </c>
      <c r="D111" s="7" t="inlineStr">
        <is>
          <t>2026-04-09</t>
        </is>
      </c>
      <c r="E111" s="3" t="n">
        <v>499000</v>
      </c>
      <c r="F111" s="3" t="n">
        <v>403</v>
      </c>
      <c r="G111" t="n">
        <v>1</v>
      </c>
      <c r="H111" t="n">
        <v>1</v>
      </c>
      <c r="I111" s="4" t="n">
        <v>580</v>
      </c>
      <c r="J111" t="inlineStr">
        <is>
          <t>No</t>
        </is>
      </c>
      <c r="K111" t="inlineStr">
        <is>
          <t>0 spaces</t>
        </is>
      </c>
      <c r="L111" s="3">
        <f>Assumptions!B3</f>
        <v/>
      </c>
      <c r="M111" s="3">
        <f>E111-L111</f>
        <v/>
      </c>
      <c r="N111" s="3">
        <f>-PMT(Assumptions!B2/12,Assumptions!B4*12,M111)</f>
        <v/>
      </c>
      <c r="O111" s="3">
        <f>E111*Assumptions!B5/12</f>
        <v/>
      </c>
      <c r="P111" s="3">
        <f>Assumptions!B6</f>
        <v/>
      </c>
      <c r="Q111" s="3">
        <f>Assumptions!B7+Assumptions!B8</f>
        <v/>
      </c>
      <c r="R111" s="3">
        <f>N111+F111+O111+P111+Q111</f>
        <v/>
      </c>
      <c r="S111" s="3" t="n">
        <v>0</v>
      </c>
      <c r="T111" s="3">
        <f>R111-S111*MAX(IFERROR(G111-1,0),0)</f>
        <v/>
      </c>
      <c r="U111" t="n">
        <v>1.4</v>
      </c>
      <c r="V111" t="n">
        <v>15.7</v>
      </c>
      <c r="W111" t="n">
        <v>14.1</v>
      </c>
      <c r="X111" s="8" t="n">
        <v>1.8</v>
      </c>
      <c r="Y111" t="inlineStr">
        <is>
          <t>Yellow</t>
        </is>
      </c>
    </row>
    <row r="112">
      <c r="A112" s="9" t="inlineStr">
        <is>
          <t>46 Highland Ave Unit 3B, Somerville, MA 02143</t>
        </is>
      </c>
      <c r="B112" t="inlineStr">
        <is>
          <t>Somerville</t>
        </is>
      </c>
      <c r="C112" s="6" t="inlineStr">
        <is>
          <t>https://www.redfin.com/MA/Somerville/46-Highland-Ave-02143/unit-3B/home/12404017</t>
        </is>
      </c>
      <c r="D112" s="7" t="inlineStr">
        <is>
          <t>2026-03-21</t>
        </is>
      </c>
      <c r="E112" s="3" t="n">
        <v>375000</v>
      </c>
      <c r="F112" s="3" t="n">
        <v>293</v>
      </c>
      <c r="G112" t="n">
        <v>1</v>
      </c>
      <c r="H112" t="n">
        <v>1</v>
      </c>
      <c r="I112" s="4" t="n">
        <v>361</v>
      </c>
      <c r="J112" t="inlineStr">
        <is>
          <t>No</t>
        </is>
      </c>
      <c r="K112" t="inlineStr">
        <is>
          <t>0 spaces</t>
        </is>
      </c>
      <c r="L112" s="3">
        <f>Assumptions!B3</f>
        <v/>
      </c>
      <c r="M112" s="3">
        <f>E112-L112</f>
        <v/>
      </c>
      <c r="N112" s="3">
        <f>-PMT(Assumptions!B2/12,Assumptions!B4*12,M112)</f>
        <v/>
      </c>
      <c r="O112" s="3">
        <f>E112*Assumptions!B5/12</f>
        <v/>
      </c>
      <c r="P112" s="3">
        <f>Assumptions!B6</f>
        <v/>
      </c>
      <c r="Q112" s="3">
        <f>Assumptions!B7+Assumptions!B8</f>
        <v/>
      </c>
      <c r="R112" s="3">
        <f>N112+F112+O112+P112+Q112</f>
        <v/>
      </c>
      <c r="S112" s="3" t="n">
        <v>0</v>
      </c>
      <c r="T112" s="3">
        <f>R112-S112*MAX(IFERROR(G112-1,0),0)</f>
        <v/>
      </c>
      <c r="X112" s="8" t="n">
        <v>1.8</v>
      </c>
      <c r="Y112" t="inlineStr">
        <is>
          <t>Yellow</t>
        </is>
      </c>
    </row>
    <row r="113">
      <c r="A113" s="9" t="inlineStr">
        <is>
          <t>33 Newbury #1, Somerville, MA 02144</t>
        </is>
      </c>
      <c r="B113" t="inlineStr">
        <is>
          <t>Somerville</t>
        </is>
      </c>
      <c r="C113" s="6" t="inlineStr">
        <is>
          <t>https://www.redfin.com/MA/Somerville/33-Newbury-St-02144/unit-1/home/12389795</t>
        </is>
      </c>
      <c r="D113" s="7" t="inlineStr">
        <is>
          <t>2026-04-09</t>
        </is>
      </c>
      <c r="E113" s="3" t="n">
        <v>489900</v>
      </c>
      <c r="F113" s="3" t="n">
        <v>200</v>
      </c>
      <c r="G113" t="n">
        <v>1</v>
      </c>
      <c r="H113" t="n">
        <v>1</v>
      </c>
      <c r="I113" s="4" t="n">
        <v>637</v>
      </c>
      <c r="J113" t="inlineStr">
        <is>
          <t>No</t>
        </is>
      </c>
      <c r="K113" t="inlineStr">
        <is>
          <t>0 spaces</t>
        </is>
      </c>
      <c r="L113" s="3">
        <f>Assumptions!B3</f>
        <v/>
      </c>
      <c r="M113" s="3">
        <f>E113-L113</f>
        <v/>
      </c>
      <c r="N113" s="3">
        <f>-PMT(Assumptions!B2/12,Assumptions!B4*12,M113)</f>
        <v/>
      </c>
      <c r="O113" s="3">
        <f>E113*Assumptions!B5/12</f>
        <v/>
      </c>
      <c r="P113" s="3">
        <f>Assumptions!B6</f>
        <v/>
      </c>
      <c r="Q113" s="3">
        <f>Assumptions!B7+Assumptions!B8</f>
        <v/>
      </c>
      <c r="R113" s="3">
        <f>N113+F113+O113+P113+Q113</f>
        <v/>
      </c>
      <c r="S113" s="3" t="n">
        <v>0</v>
      </c>
      <c r="T113" s="3">
        <f>R113-S113*MAX(IFERROR(G113-1,0),0)</f>
        <v/>
      </c>
      <c r="X113" s="8" t="n">
        <v>1.8</v>
      </c>
      <c r="Y113" t="inlineStr">
        <is>
          <t>Yellow</t>
        </is>
      </c>
    </row>
    <row r="114">
      <c r="A114" s="9" t="inlineStr">
        <is>
          <t>14 Presidents Ln #10, Quincy, MA 02169</t>
        </is>
      </c>
      <c r="B114" t="inlineStr">
        <is>
          <t>Quincy</t>
        </is>
      </c>
      <c r="C114" s="6" t="inlineStr">
        <is>
          <t>https://www.redfin.com/MA/Quincy/14-Presidents-Ln-02169/unit-10/home/8931158</t>
        </is>
      </c>
      <c r="D114" s="7" t="inlineStr">
        <is>
          <t>2026-04-14</t>
        </is>
      </c>
      <c r="E114" s="3" t="n">
        <v>329000</v>
      </c>
      <c r="F114" s="3" t="n">
        <v>437</v>
      </c>
      <c r="G114" t="n">
        <v>1</v>
      </c>
      <c r="H114" t="n">
        <v>1</v>
      </c>
      <c r="I114" s="4" t="n">
        <v>666</v>
      </c>
      <c r="J114" t="inlineStr">
        <is>
          <t>No</t>
        </is>
      </c>
      <c r="K114" t="inlineStr">
        <is>
          <t>1 space</t>
        </is>
      </c>
      <c r="L114" s="3">
        <f>Assumptions!B3</f>
        <v/>
      </c>
      <c r="M114" s="3">
        <f>E114-L114</f>
        <v/>
      </c>
      <c r="N114" s="3">
        <f>-PMT(Assumptions!B2/12,Assumptions!B4*12,M114)</f>
        <v/>
      </c>
      <c r="O114" s="3">
        <f>E114*Assumptions!B5/12</f>
        <v/>
      </c>
      <c r="P114" s="3">
        <f>Assumptions!B6</f>
        <v/>
      </c>
      <c r="Q114" s="3">
        <f>Assumptions!B7+Assumptions!B8</f>
        <v/>
      </c>
      <c r="R114" s="3">
        <f>N114+F114+O114+P114+Q114</f>
        <v/>
      </c>
      <c r="S114" s="3" t="n">
        <v>0</v>
      </c>
      <c r="T114" s="3">
        <f>R114-S114*MAX(IFERROR(G114-1,0),0)</f>
        <v/>
      </c>
      <c r="U114" t="n">
        <v>2</v>
      </c>
      <c r="V114" t="n">
        <v>16.4</v>
      </c>
      <c r="W114" t="n">
        <v>20.5</v>
      </c>
      <c r="X114" s="8" t="n">
        <v>1.8</v>
      </c>
      <c r="Y114" t="inlineStr">
        <is>
          <t>Yellow</t>
        </is>
      </c>
    </row>
    <row r="115">
      <c r="A115" s="9" t="inlineStr">
        <is>
          <t>585 Washington St #202, Quincy, MA 02169</t>
        </is>
      </c>
      <c r="B115" t="inlineStr">
        <is>
          <t>Quincy</t>
        </is>
      </c>
      <c r="C115" s="6" t="inlineStr">
        <is>
          <t>https://www.redfin.com/MA/Quincy/585-Washington-St-02169/unit-202/home/200582027</t>
        </is>
      </c>
      <c r="D115" s="7" t="n"/>
      <c r="E115" s="3" t="n">
        <v>600000</v>
      </c>
      <c r="F115" s="3" t="n">
        <v>250</v>
      </c>
      <c r="G115" t="n">
        <v>2</v>
      </c>
      <c r="H115" t="n">
        <v>2</v>
      </c>
      <c r="I115" s="4" t="n">
        <v>1203</v>
      </c>
      <c r="J115" t="inlineStr">
        <is>
          <t>No</t>
        </is>
      </c>
      <c r="K115" t="inlineStr">
        <is>
          <t>1 space</t>
        </is>
      </c>
      <c r="L115" s="3">
        <f>Assumptions!B3</f>
        <v/>
      </c>
      <c r="M115" s="3">
        <f>E115-L115</f>
        <v/>
      </c>
      <c r="N115" s="3">
        <f>-PMT(Assumptions!B2/12,Assumptions!B4*12,M115)</f>
        <v/>
      </c>
      <c r="O115" s="3">
        <f>E115*Assumptions!B5/12</f>
        <v/>
      </c>
      <c r="P115" s="3">
        <f>Assumptions!B6</f>
        <v/>
      </c>
      <c r="Q115" s="3">
        <f>Assumptions!B7+Assumptions!B8</f>
        <v/>
      </c>
      <c r="R115" s="3">
        <f>N115+F115+O115+P115+Q115</f>
        <v/>
      </c>
      <c r="S115" s="3" t="n">
        <v>1170</v>
      </c>
      <c r="T115" s="3">
        <f>R115-S115*MAX(IFERROR(G115-1,0),0)</f>
        <v/>
      </c>
      <c r="U115" t="n">
        <v>3.5</v>
      </c>
      <c r="V115" t="n">
        <v>19.7</v>
      </c>
      <c r="W115" t="n">
        <v>23.7</v>
      </c>
      <c r="X115" s="8" t="n">
        <v>1.75</v>
      </c>
      <c r="Y115" t="inlineStr">
        <is>
          <t>Yellow</t>
        </is>
      </c>
    </row>
    <row r="116">
      <c r="A116" s="9" t="inlineStr">
        <is>
          <t>15 Colliston Rd #6, Brighton, MA 02135</t>
        </is>
      </c>
      <c r="B116" t="inlineStr">
        <is>
          <t>Brighton</t>
        </is>
      </c>
      <c r="C116" s="6" t="inlineStr">
        <is>
          <t>https://www.redfin.com/MA/Brighton/15-Colliston-Rd-02135/unit-6/home/9004520</t>
        </is>
      </c>
      <c r="D116" s="7" t="n"/>
      <c r="E116" s="3" t="n">
        <v>450000</v>
      </c>
      <c r="F116" s="3" t="n">
        <v>425</v>
      </c>
      <c r="G116" t="n">
        <v>1</v>
      </c>
      <c r="H116" t="n">
        <v>1</v>
      </c>
      <c r="I116" s="4" t="n">
        <v>577</v>
      </c>
      <c r="J116" t="inlineStr">
        <is>
          <t>No</t>
        </is>
      </c>
      <c r="K116" t="inlineStr">
        <is>
          <t>0 spaces</t>
        </is>
      </c>
      <c r="L116" s="3">
        <f>Assumptions!B3</f>
        <v/>
      </c>
      <c r="M116" s="3">
        <f>E116-L116</f>
        <v/>
      </c>
      <c r="N116" s="3">
        <f>-PMT(Assumptions!B2/12,Assumptions!B4*12,M116)</f>
        <v/>
      </c>
      <c r="O116" s="3">
        <f>E116*Assumptions!B5/12</f>
        <v/>
      </c>
      <c r="P116" s="3">
        <f>Assumptions!B6</f>
        <v/>
      </c>
      <c r="Q116" s="3">
        <f>Assumptions!B7+Assumptions!B8</f>
        <v/>
      </c>
      <c r="R116" s="3">
        <f>N116+F116+O116+P116+Q116</f>
        <v/>
      </c>
      <c r="S116" s="3" t="n">
        <v>0</v>
      </c>
      <c r="T116" s="3">
        <f>R116-S116*MAX(IFERROR(G116-1,0),0)</f>
        <v/>
      </c>
      <c r="U116" t="n">
        <v>1.2</v>
      </c>
      <c r="V116" t="n">
        <v>15.2</v>
      </c>
      <c r="W116" t="n">
        <v>14.1</v>
      </c>
      <c r="X116" s="8" t="n">
        <v>1.75</v>
      </c>
      <c r="Y116" t="inlineStr">
        <is>
          <t>Yellow</t>
        </is>
      </c>
    </row>
    <row r="117">
      <c r="A117" s="9" t="inlineStr">
        <is>
          <t>32 Whites Ave Unit D65, Watertown, MA 02472</t>
        </is>
      </c>
      <c r="B117" t="inlineStr">
        <is>
          <t>Watertown</t>
        </is>
      </c>
      <c r="C117" s="6" t="inlineStr">
        <is>
          <t>https://www.redfin.com/MA/Watertown/32-Whites-Ave-02472/unit-D65/home/11705029</t>
        </is>
      </c>
      <c r="D117" s="7" t="n"/>
      <c r="E117" s="3" t="n">
        <v>380000</v>
      </c>
      <c r="F117" s="3" t="n">
        <v>394</v>
      </c>
      <c r="G117" t="n">
        <v>1</v>
      </c>
      <c r="H117" t="n">
        <v>1</v>
      </c>
      <c r="I117" s="4" t="n">
        <v>550</v>
      </c>
      <c r="J117" t="inlineStr">
        <is>
          <t>No</t>
        </is>
      </c>
      <c r="K117" t="inlineStr">
        <is>
          <t>1 space</t>
        </is>
      </c>
      <c r="L117" s="3">
        <f>Assumptions!B3</f>
        <v/>
      </c>
      <c r="M117" s="3">
        <f>E117-L117</f>
        <v/>
      </c>
      <c r="N117" s="3">
        <f>-PMT(Assumptions!B2/12,Assumptions!B4*12,M117)</f>
        <v/>
      </c>
      <c r="O117" s="3">
        <f>E117*Assumptions!B5/12</f>
        <v/>
      </c>
      <c r="P117" s="3">
        <f>Assumptions!B6</f>
        <v/>
      </c>
      <c r="Q117" s="3">
        <f>Assumptions!B7+Assumptions!B8</f>
        <v/>
      </c>
      <c r="R117" s="3">
        <f>N117+F117+O117+P117+Q117</f>
        <v/>
      </c>
      <c r="S117" s="3" t="n">
        <v>0</v>
      </c>
      <c r="T117" s="3">
        <f>R117-S117*MAX(IFERROR(G117-1,0),0)</f>
        <v/>
      </c>
      <c r="U117" t="n">
        <v>10.7</v>
      </c>
      <c r="V117" t="n">
        <v>17.1</v>
      </c>
      <c r="W117" t="n">
        <v>17</v>
      </c>
      <c r="X117" s="8" t="n">
        <v>1.75</v>
      </c>
      <c r="Y117" t="inlineStr">
        <is>
          <t>Yellow</t>
        </is>
      </c>
    </row>
    <row r="118">
      <c r="A118" s="9" t="inlineStr">
        <is>
          <t>2353 Massachusetts Ave #93, Cambridge, MA 02140</t>
        </is>
      </c>
      <c r="B118" t="inlineStr">
        <is>
          <t>Cambridge</t>
        </is>
      </c>
      <c r="C118" s="6" t="inlineStr">
        <is>
          <t>https://www.redfin.com/MA/Cambridge/2353-Massachusetts-Ave-02140/unit-93/home/11579819</t>
        </is>
      </c>
      <c r="D118" s="7" t="n"/>
      <c r="E118" s="3" t="n">
        <v>529000</v>
      </c>
      <c r="F118" s="3" t="n">
        <v>390</v>
      </c>
      <c r="G118" t="n">
        <v>1</v>
      </c>
      <c r="H118" t="n">
        <v>1</v>
      </c>
      <c r="I118" s="4" t="n">
        <v>632</v>
      </c>
      <c r="J118" t="inlineStr">
        <is>
          <t>No</t>
        </is>
      </c>
      <c r="K118" t="inlineStr">
        <is>
          <t>1 space</t>
        </is>
      </c>
      <c r="L118" s="3">
        <f>Assumptions!B3</f>
        <v/>
      </c>
      <c r="M118" s="3">
        <f>E118-L118</f>
        <v/>
      </c>
      <c r="N118" s="3">
        <f>-PMT(Assumptions!B2/12,Assumptions!B4*12,M118)</f>
        <v/>
      </c>
      <c r="O118" s="3">
        <f>E118*Assumptions!B5/12</f>
        <v/>
      </c>
      <c r="P118" s="3">
        <f>Assumptions!B6</f>
        <v/>
      </c>
      <c r="Q118" s="3">
        <f>Assumptions!B7+Assumptions!B8</f>
        <v/>
      </c>
      <c r="R118" s="3">
        <f>N118+F118+O118+P118+Q118</f>
        <v/>
      </c>
      <c r="S118" s="3" t="n">
        <v>0</v>
      </c>
      <c r="T118" s="3">
        <f>R118-S118*MAX(IFERROR(G118-1,0),0)</f>
        <v/>
      </c>
      <c r="U118" t="n">
        <v>4.4</v>
      </c>
      <c r="V118" t="n">
        <v>15.1</v>
      </c>
      <c r="W118" t="n">
        <v>12.7</v>
      </c>
      <c r="X118" s="8" t="n">
        <v>1.75</v>
      </c>
      <c r="Y118" t="inlineStr">
        <is>
          <t>Yellow</t>
        </is>
      </c>
    </row>
    <row r="119">
      <c r="A119" s="9" t="inlineStr">
        <is>
          <t>21 Totman St #204, Quincy, MA 02169</t>
        </is>
      </c>
      <c r="B119" t="inlineStr">
        <is>
          <t>Quincy</t>
        </is>
      </c>
      <c r="C119" s="6" t="inlineStr">
        <is>
          <t>https://www.redfin.com/MA/Quincy/21-Totman-St-02169/unit-204/home/196651838</t>
        </is>
      </c>
      <c r="D119" s="7" t="n"/>
      <c r="E119" s="3" t="n">
        <v>485000</v>
      </c>
      <c r="F119" s="3" t="n">
        <v>312</v>
      </c>
      <c r="G119" t="n">
        <v>1</v>
      </c>
      <c r="H119" t="n">
        <v>1</v>
      </c>
      <c r="I119" s="4" t="n">
        <v>679</v>
      </c>
      <c r="J119" t="inlineStr">
        <is>
          <t>No</t>
        </is>
      </c>
      <c r="K119" t="inlineStr">
        <is>
          <t>1 space</t>
        </is>
      </c>
      <c r="L119" s="3">
        <f>Assumptions!B3</f>
        <v/>
      </c>
      <c r="M119" s="3">
        <f>E119-L119</f>
        <v/>
      </c>
      <c r="N119" s="3">
        <f>-PMT(Assumptions!B2/12,Assumptions!B4*12,M119)</f>
        <v/>
      </c>
      <c r="O119" s="3">
        <f>E119*Assumptions!B5/12</f>
        <v/>
      </c>
      <c r="P119" s="3">
        <f>Assumptions!B6</f>
        <v/>
      </c>
      <c r="Q119" s="3">
        <f>Assumptions!B7+Assumptions!B8</f>
        <v/>
      </c>
      <c r="R119" s="3">
        <f>N119+F119+O119+P119+Q119</f>
        <v/>
      </c>
      <c r="S119" s="3" t="n">
        <v>0</v>
      </c>
      <c r="T119" s="3">
        <f>R119-S119*MAX(IFERROR(G119-1,0),0)</f>
        <v/>
      </c>
      <c r="U119" t="n">
        <v>2.3</v>
      </c>
      <c r="V119" t="n">
        <v>18.3</v>
      </c>
      <c r="W119" t="n">
        <v>22.4</v>
      </c>
      <c r="X119" s="8" t="n">
        <v>1.75</v>
      </c>
      <c r="Y119" t="inlineStr">
        <is>
          <t>Yellow</t>
        </is>
      </c>
    </row>
    <row r="120">
      <c r="A120" s="9" t="inlineStr">
        <is>
          <t>1868 Commonwealth Ave #1, Brighton, MA 02135</t>
        </is>
      </c>
      <c r="B120" t="inlineStr">
        <is>
          <t>Brighton</t>
        </is>
      </c>
      <c r="C120" s="6" t="inlineStr">
        <is>
          <t>https://www.redfin.com/MA/Brighton/1868-Commonwealth-Ave-02135/unit-1/home/9028075</t>
        </is>
      </c>
      <c r="D120" s="7" t="n"/>
      <c r="E120" s="3" t="n">
        <v>410000</v>
      </c>
      <c r="F120" s="3" t="n">
        <v>403</v>
      </c>
      <c r="G120" t="n">
        <v>1</v>
      </c>
      <c r="H120" t="n">
        <v>1</v>
      </c>
      <c r="I120" s="4" t="n">
        <v>640</v>
      </c>
      <c r="J120" t="inlineStr">
        <is>
          <t>No</t>
        </is>
      </c>
      <c r="K120" t="inlineStr">
        <is>
          <t>0 spaces</t>
        </is>
      </c>
      <c r="L120" s="3">
        <f>Assumptions!B3</f>
        <v/>
      </c>
      <c r="M120" s="3">
        <f>E120-L120</f>
        <v/>
      </c>
      <c r="N120" s="3">
        <f>-PMT(Assumptions!B2/12,Assumptions!B4*12,M120)</f>
        <v/>
      </c>
      <c r="O120" s="3">
        <f>E120*Assumptions!B5/12</f>
        <v/>
      </c>
      <c r="P120" s="3">
        <f>Assumptions!B6</f>
        <v/>
      </c>
      <c r="Q120" s="3">
        <f>Assumptions!B7+Assumptions!B8</f>
        <v/>
      </c>
      <c r="R120" s="3">
        <f>N120+F120+O120+P120+Q120</f>
        <v/>
      </c>
      <c r="S120" s="3" t="n">
        <v>0</v>
      </c>
      <c r="T120" s="3">
        <f>R120-S120*MAX(IFERROR(G120-1,0),0)</f>
        <v/>
      </c>
      <c r="U120" t="n">
        <v>1.8</v>
      </c>
      <c r="V120" t="n">
        <v>15.9</v>
      </c>
      <c r="W120" t="n">
        <v>14.2</v>
      </c>
      <c r="X120" s="8" t="n">
        <v>1.75</v>
      </c>
      <c r="Y120" t="inlineStr">
        <is>
          <t>Yellow</t>
        </is>
      </c>
    </row>
    <row r="121">
      <c r="A121" s="9" t="inlineStr">
        <is>
          <t>70 Leo M Birmingham Pkwy #416, Boston, MA 02135</t>
        </is>
      </c>
      <c r="B121" t="inlineStr">
        <is>
          <t>Brighton</t>
        </is>
      </c>
      <c r="C121" s="6" t="inlineStr">
        <is>
          <t>https://www.redfin.com/MA/Boston/70-Leo-M-Birmingham-Pkwy-02135/unit-416/home/178944372</t>
        </is>
      </c>
      <c r="D121" s="7" t="n"/>
      <c r="E121" s="3" t="n">
        <v>599000</v>
      </c>
      <c r="F121" s="3" t="n">
        <v>426</v>
      </c>
      <c r="G121" t="n">
        <v>1</v>
      </c>
      <c r="H121" t="n">
        <v>1</v>
      </c>
      <c r="I121" s="4" t="n">
        <v>597</v>
      </c>
      <c r="J121" t="inlineStr">
        <is>
          <t>No</t>
        </is>
      </c>
      <c r="K121" t="inlineStr">
        <is>
          <t>0 spaces</t>
        </is>
      </c>
      <c r="L121" s="3">
        <f>Assumptions!B3</f>
        <v/>
      </c>
      <c r="M121" s="3">
        <f>E121-L121</f>
        <v/>
      </c>
      <c r="N121" s="3">
        <f>-PMT(Assumptions!B2/12,Assumptions!B4*12,M121)</f>
        <v/>
      </c>
      <c r="O121" s="3">
        <f>E121*Assumptions!B5/12</f>
        <v/>
      </c>
      <c r="P121" s="3">
        <f>Assumptions!B6</f>
        <v/>
      </c>
      <c r="Q121" s="3">
        <f>Assumptions!B7+Assumptions!B8</f>
        <v/>
      </c>
      <c r="R121" s="3">
        <f>N121+F121+O121+P121+Q121</f>
        <v/>
      </c>
      <c r="S121" s="3" t="n">
        <v>0</v>
      </c>
      <c r="T121" s="3">
        <f>R121-S121*MAX(IFERROR(G121-1,0),0)</f>
        <v/>
      </c>
      <c r="U121" t="n">
        <v>6</v>
      </c>
      <c r="V121" t="n">
        <v>13.2</v>
      </c>
      <c r="W121" t="n">
        <v>12.8</v>
      </c>
      <c r="X121" s="8" t="n">
        <v>1.7</v>
      </c>
      <c r="Y121" t="inlineStr">
        <is>
          <t>Yellow</t>
        </is>
      </c>
    </row>
    <row r="122">
      <c r="A122" s="9" t="inlineStr">
        <is>
          <t>22 Chestnut Pl #210, Brookline, MA 02445</t>
        </is>
      </c>
      <c r="B122" t="inlineStr">
        <is>
          <t>Brookline</t>
        </is>
      </c>
      <c r="C122" s="6" t="inlineStr">
        <is>
          <t>https://www.redfin.com/MA/Brookline/22-Chestnut-Pl-02445/unit-210/home/11492260</t>
        </is>
      </c>
      <c r="D122" s="7" t="n"/>
      <c r="E122" s="3" t="n">
        <v>579900</v>
      </c>
      <c r="F122" s="3" t="n">
        <v>438</v>
      </c>
      <c r="G122" t="n">
        <v>1</v>
      </c>
      <c r="H122" t="n">
        <v>1.5</v>
      </c>
      <c r="I122" s="4" t="n">
        <v>830</v>
      </c>
      <c r="J122" t="inlineStr">
        <is>
          <t>No</t>
        </is>
      </c>
      <c r="K122" t="inlineStr">
        <is>
          <t>2 spaces</t>
        </is>
      </c>
      <c r="L122" s="3">
        <f>Assumptions!B3</f>
        <v/>
      </c>
      <c r="M122" s="3">
        <f>E122-L122</f>
        <v/>
      </c>
      <c r="N122" s="3">
        <f>-PMT(Assumptions!B2/12,Assumptions!B4*12,M122)</f>
        <v/>
      </c>
      <c r="O122" s="3">
        <f>E122*Assumptions!B5/12</f>
        <v/>
      </c>
      <c r="P122" s="3">
        <f>Assumptions!B6</f>
        <v/>
      </c>
      <c r="Q122" s="3">
        <f>Assumptions!B7+Assumptions!B8</f>
        <v/>
      </c>
      <c r="R122" s="3">
        <f>N122+F122+O122+P122+Q122</f>
        <v/>
      </c>
      <c r="S122" s="3" t="n">
        <v>0</v>
      </c>
      <c r="T122" s="3">
        <f>R122-S122*MAX(IFERROR(G122-1,0),0)</f>
        <v/>
      </c>
      <c r="U122" t="n">
        <v>4.1</v>
      </c>
      <c r="V122" t="n">
        <v>16.6</v>
      </c>
      <c r="W122" t="n">
        <v>14.9</v>
      </c>
      <c r="X122" s="8" t="n">
        <v>1.7</v>
      </c>
      <c r="Y122" t="inlineStr">
        <is>
          <t>Yellow</t>
        </is>
      </c>
    </row>
    <row r="123">
      <c r="A123" s="9" t="inlineStr">
        <is>
          <t>4 Repton Cir #4105, Watertown, MA 02472</t>
        </is>
      </c>
      <c r="B123" t="inlineStr">
        <is>
          <t>Watertown</t>
        </is>
      </c>
      <c r="C123" s="6" t="inlineStr">
        <is>
          <t>https://www.redfin.com/MA/Watertown/4-Repton-Cir-02472/unit-4105/home/18977070</t>
        </is>
      </c>
      <c r="D123" s="7" t="inlineStr">
        <is>
          <t>2026-04-09</t>
        </is>
      </c>
      <c r="E123" s="3" t="n">
        <v>469900</v>
      </c>
      <c r="F123" s="3" t="n">
        <v>309</v>
      </c>
      <c r="G123" t="n">
        <v>1</v>
      </c>
      <c r="H123" t="n">
        <v>1</v>
      </c>
      <c r="I123" s="4" t="n">
        <v>593</v>
      </c>
      <c r="J123" t="inlineStr">
        <is>
          <t>No</t>
        </is>
      </c>
      <c r="K123" t="inlineStr">
        <is>
          <t>1 space</t>
        </is>
      </c>
      <c r="L123" s="3">
        <f>Assumptions!B3</f>
        <v/>
      </c>
      <c r="M123" s="3">
        <f>E123-L123</f>
        <v/>
      </c>
      <c r="N123" s="3">
        <f>-PMT(Assumptions!B2/12,Assumptions!B4*12,M123)</f>
        <v/>
      </c>
      <c r="O123" s="3">
        <f>E123*Assumptions!B5/12</f>
        <v/>
      </c>
      <c r="P123" s="3">
        <f>Assumptions!B6</f>
        <v/>
      </c>
      <c r="Q123" s="3">
        <f>Assumptions!B7+Assumptions!B8</f>
        <v/>
      </c>
      <c r="R123" s="3">
        <f>N123+F123+O123+P123+Q123</f>
        <v/>
      </c>
      <c r="S123" s="3" t="n">
        <v>0</v>
      </c>
      <c r="T123" s="3">
        <f>R123-S123*MAX(IFERROR(G123-1,0),0)</f>
        <v/>
      </c>
      <c r="U123" t="n">
        <v>9.699999999999999</v>
      </c>
      <c r="V123" t="n">
        <v>18.9</v>
      </c>
      <c r="W123" t="n">
        <v>19.5</v>
      </c>
      <c r="X123" s="8" t="n">
        <v>1.7</v>
      </c>
      <c r="Y123" t="inlineStr">
        <is>
          <t>Yellow</t>
        </is>
      </c>
    </row>
    <row r="124">
      <c r="A124" s="9" t="inlineStr">
        <is>
          <t>6 Garden Ct #5, Cambridge, MA 02138</t>
        </is>
      </c>
      <c r="B124" t="inlineStr">
        <is>
          <t>Cambridge</t>
        </is>
      </c>
      <c r="C124" s="6" t="inlineStr">
        <is>
          <t>https://www.redfin.com/MA/Cambridge/6-Garden-Ct-02138/unit-5/home/11600335</t>
        </is>
      </c>
      <c r="D124" s="7" t="inlineStr">
        <is>
          <t>2026-04-07</t>
        </is>
      </c>
      <c r="E124" s="3" t="n">
        <v>579000</v>
      </c>
      <c r="F124" s="3" t="n">
        <v>400</v>
      </c>
      <c r="G124" t="n">
        <v>2</v>
      </c>
      <c r="H124" t="n">
        <v>1</v>
      </c>
      <c r="I124" s="4" t="n">
        <v>612</v>
      </c>
      <c r="J124" t="inlineStr">
        <is>
          <t>No</t>
        </is>
      </c>
      <c r="K124" t="inlineStr">
        <is>
          <t>0 spaces</t>
        </is>
      </c>
      <c r="L124" s="3">
        <f>Assumptions!B3</f>
        <v/>
      </c>
      <c r="M124" s="3">
        <f>E124-L124</f>
        <v/>
      </c>
      <c r="N124" s="3">
        <f>-PMT(Assumptions!B2/12,Assumptions!B4*12,M124)</f>
        <v/>
      </c>
      <c r="O124" s="3">
        <f>E124*Assumptions!B5/12</f>
        <v/>
      </c>
      <c r="P124" s="3">
        <f>Assumptions!B6</f>
        <v/>
      </c>
      <c r="Q124" s="3">
        <f>Assumptions!B7+Assumptions!B8</f>
        <v/>
      </c>
      <c r="R124" s="3">
        <f>N124+F124+O124+P124+Q124</f>
        <v/>
      </c>
      <c r="S124" s="3" t="n">
        <v>1625</v>
      </c>
      <c r="T124" s="3">
        <f>R124-S124*MAX(IFERROR(G124-1,0),0)</f>
        <v/>
      </c>
      <c r="X124" s="8" t="n">
        <v>1.7</v>
      </c>
      <c r="Y124" t="inlineStr">
        <is>
          <t>Yellow</t>
        </is>
      </c>
    </row>
    <row r="125">
      <c r="A125" s="9" t="inlineStr">
        <is>
          <t>395 Broadway Unit L3F, Cambridge, MA 02139</t>
        </is>
      </c>
      <c r="B125" t="inlineStr">
        <is>
          <t>Cambridge</t>
        </is>
      </c>
      <c r="C125" s="6" t="inlineStr">
        <is>
          <t>https://www.redfin.com/MA/Cambridge/395-Broadway-02139/unit-L3F/home/11563377</t>
        </is>
      </c>
      <c r="D125" s="7" t="inlineStr">
        <is>
          <t>2026-04-13</t>
        </is>
      </c>
      <c r="E125" s="3" t="n">
        <v>450000</v>
      </c>
      <c r="F125" s="3" t="n">
        <v>415</v>
      </c>
      <c r="G125" t="n">
        <v>0</v>
      </c>
      <c r="H125" t="n">
        <v>1</v>
      </c>
      <c r="I125" s="4" t="n">
        <v>468</v>
      </c>
      <c r="J125" t="inlineStr">
        <is>
          <t>No</t>
        </is>
      </c>
      <c r="K125" t="inlineStr">
        <is>
          <t>0 spaces</t>
        </is>
      </c>
      <c r="L125" s="3">
        <f>Assumptions!B3</f>
        <v/>
      </c>
      <c r="M125" s="3">
        <f>E125-L125</f>
        <v/>
      </c>
      <c r="N125" s="3">
        <f>-PMT(Assumptions!B2/12,Assumptions!B4*12,M125)</f>
        <v/>
      </c>
      <c r="O125" s="3">
        <f>E125*Assumptions!B5/12</f>
        <v/>
      </c>
      <c r="P125" s="3">
        <f>Assumptions!B6</f>
        <v/>
      </c>
      <c r="Q125" s="3">
        <f>Assumptions!B7+Assumptions!B8</f>
        <v/>
      </c>
      <c r="R125" s="3">
        <f>N125+F125+O125+P125+Q125</f>
        <v/>
      </c>
      <c r="S125" s="3" t="n">
        <v>0</v>
      </c>
      <c r="T125" s="3">
        <f>R125-S125*MAX(IFERROR(G125-1,0),0)</f>
        <v/>
      </c>
      <c r="X125" s="8" t="n">
        <v>1.7</v>
      </c>
      <c r="Y125" t="inlineStr">
        <is>
          <t>Yellow</t>
        </is>
      </c>
    </row>
    <row r="126">
      <c r="A126" s="9" t="inlineStr">
        <is>
          <t>, Boston, MA 02215</t>
        </is>
      </c>
      <c r="B126" t="inlineStr">
        <is>
          <t>Brookline</t>
        </is>
      </c>
      <c r="C126" s="6" t="inlineStr">
        <is>
          <t>https://www.redfin.com/MA/Boston/Undisclosed-address-02215/home/9273827</t>
        </is>
      </c>
      <c r="D126" s="7" t="inlineStr">
        <is>
          <t>2026-04-10</t>
        </is>
      </c>
      <c r="E126" s="3" t="n">
        <v>535000</v>
      </c>
      <c r="F126" s="3" t="n">
        <v>0</v>
      </c>
      <c r="G126" t="n">
        <v>1</v>
      </c>
      <c r="H126" t="n">
        <v>1</v>
      </c>
      <c r="I126" s="4" t="n">
        <v>487</v>
      </c>
      <c r="J126" t="inlineStr">
        <is>
          <t>No</t>
        </is>
      </c>
      <c r="K126" t="inlineStr">
        <is>
          <t>Unknown</t>
        </is>
      </c>
      <c r="L126" s="3">
        <f>Assumptions!B3</f>
        <v/>
      </c>
      <c r="M126" s="3">
        <f>E126-L126</f>
        <v/>
      </c>
      <c r="N126" s="3">
        <f>-PMT(Assumptions!B2/12,Assumptions!B4*12,M126)</f>
        <v/>
      </c>
      <c r="O126" s="3">
        <f>E126*Assumptions!B5/12</f>
        <v/>
      </c>
      <c r="P126" s="3">
        <f>Assumptions!B6</f>
        <v/>
      </c>
      <c r="Q126" s="3">
        <f>Assumptions!B7+Assumptions!B8</f>
        <v/>
      </c>
      <c r="R126" s="3">
        <f>N126+F126+O126+P126+Q126</f>
        <v/>
      </c>
      <c r="S126" s="3" t="n">
        <v>0</v>
      </c>
      <c r="T126" s="3">
        <f>R126-S126*MAX(IFERROR(G126-1,0),0)</f>
        <v/>
      </c>
      <c r="X126" s="8" t="n">
        <v>1.7</v>
      </c>
      <c r="Y126" t="inlineStr">
        <is>
          <t>Yellow</t>
        </is>
      </c>
    </row>
    <row r="127">
      <c r="A127" s="9" t="inlineStr">
        <is>
          <t>618 Boston Ave Unit 4A, Medford, MA 02155</t>
        </is>
      </c>
      <c r="B127" t="inlineStr">
        <is>
          <t>Medford</t>
        </is>
      </c>
      <c r="C127" s="6" t="inlineStr">
        <is>
          <t>https://www.redfin.com/MA/Medford/618-Boston-Ave-02155/unit-4A/home/11798302</t>
        </is>
      </c>
      <c r="D127" s="7" t="inlineStr">
        <is>
          <t>2026-04-08</t>
        </is>
      </c>
      <c r="E127" s="3" t="n">
        <v>599900</v>
      </c>
      <c r="F127" s="3" t="n">
        <v>469</v>
      </c>
      <c r="G127" t="n">
        <v>2</v>
      </c>
      <c r="H127" t="n">
        <v>2</v>
      </c>
      <c r="I127" s="4" t="n">
        <v>1009</v>
      </c>
      <c r="J127" t="inlineStr">
        <is>
          <t>No</t>
        </is>
      </c>
      <c r="K127" t="inlineStr">
        <is>
          <t>2 spaces</t>
        </is>
      </c>
      <c r="L127" s="3">
        <f>Assumptions!B3</f>
        <v/>
      </c>
      <c r="M127" s="3">
        <f>E127-L127</f>
        <v/>
      </c>
      <c r="N127" s="3">
        <f>-PMT(Assumptions!B2/12,Assumptions!B4*12,M127)</f>
        <v/>
      </c>
      <c r="O127" s="3">
        <f>E127*Assumptions!B5/12</f>
        <v/>
      </c>
      <c r="P127" s="3">
        <f>Assumptions!B6</f>
        <v/>
      </c>
      <c r="Q127" s="3">
        <f>Assumptions!B7+Assumptions!B8</f>
        <v/>
      </c>
      <c r="R127" s="3">
        <f>N127+F127+O127+P127+Q127</f>
        <v/>
      </c>
      <c r="S127" s="3" t="n">
        <v>1235</v>
      </c>
      <c r="T127" s="3">
        <f>R127-S127*MAX(IFERROR(G127-1,0),0)</f>
        <v/>
      </c>
      <c r="X127" s="8" t="n">
        <v>1.7</v>
      </c>
      <c r="Y127" t="inlineStr">
        <is>
          <t>Yellow</t>
        </is>
      </c>
    </row>
    <row r="128">
      <c r="A128" s="9" t="inlineStr">
        <is>
          <t>314 Riverside Ave #408, Medford, MA 02155</t>
        </is>
      </c>
      <c r="B128" t="inlineStr">
        <is>
          <t>Medford</t>
        </is>
      </c>
      <c r="C128" s="6" t="inlineStr">
        <is>
          <t>https://www.redfin.com/MA/Medford/314-Riverside-Ave-02155/unit-408/home/11794508</t>
        </is>
      </c>
      <c r="D128" s="7" t="inlineStr">
        <is>
          <t>2026-04-09</t>
        </is>
      </c>
      <c r="E128" s="3" t="n">
        <v>519900</v>
      </c>
      <c r="F128" s="3" t="n">
        <v>451</v>
      </c>
      <c r="G128" t="n">
        <v>2</v>
      </c>
      <c r="H128" t="n">
        <v>1</v>
      </c>
      <c r="I128" s="4" t="n">
        <v>1145</v>
      </c>
      <c r="J128" t="inlineStr">
        <is>
          <t>No</t>
        </is>
      </c>
      <c r="K128" t="inlineStr">
        <is>
          <t>1 space</t>
        </is>
      </c>
      <c r="L128" s="3">
        <f>Assumptions!B3</f>
        <v/>
      </c>
      <c r="M128" s="3">
        <f>E128-L128</f>
        <v/>
      </c>
      <c r="N128" s="3">
        <f>-PMT(Assumptions!B2/12,Assumptions!B4*12,M128)</f>
        <v/>
      </c>
      <c r="O128" s="3">
        <f>E128*Assumptions!B5/12</f>
        <v/>
      </c>
      <c r="P128" s="3">
        <f>Assumptions!B6</f>
        <v/>
      </c>
      <c r="Q128" s="3">
        <f>Assumptions!B7+Assumptions!B8</f>
        <v/>
      </c>
      <c r="R128" s="3">
        <f>N128+F128+O128+P128+Q128</f>
        <v/>
      </c>
      <c r="S128" s="3" t="n">
        <v>1235</v>
      </c>
      <c r="T128" s="3">
        <f>R128-S128*MAX(IFERROR(G128-1,0),0)</f>
        <v/>
      </c>
      <c r="X128" s="8" t="n">
        <v>1.7</v>
      </c>
      <c r="Y128" t="inlineStr">
        <is>
          <t>Yellow</t>
        </is>
      </c>
    </row>
    <row r="129">
      <c r="A129" s="9" t="inlineStr">
        <is>
          <t>314 Riverside Ave #305, Medford, MA 02155</t>
        </is>
      </c>
      <c r="B129" t="inlineStr">
        <is>
          <t>Medford</t>
        </is>
      </c>
      <c r="C129" s="6" t="inlineStr">
        <is>
          <t>https://www.redfin.com/MA/Medford/314-Riverside-Ave-02155/unit-305/home/11794499</t>
        </is>
      </c>
      <c r="D129" s="7" t="inlineStr">
        <is>
          <t>2026-03-08</t>
        </is>
      </c>
      <c r="E129" s="3" t="n">
        <v>579900</v>
      </c>
      <c r="F129" s="3" t="n">
        <v>433</v>
      </c>
      <c r="G129" t="n">
        <v>2</v>
      </c>
      <c r="H129" t="n">
        <v>1</v>
      </c>
      <c r="I129" s="4" t="n">
        <v>1079</v>
      </c>
      <c r="J129" t="inlineStr">
        <is>
          <t>No</t>
        </is>
      </c>
      <c r="K129" t="inlineStr">
        <is>
          <t>1 space</t>
        </is>
      </c>
      <c r="L129" s="3">
        <f>Assumptions!B3</f>
        <v/>
      </c>
      <c r="M129" s="3">
        <f>E129-L129</f>
        <v/>
      </c>
      <c r="N129" s="3">
        <f>-PMT(Assumptions!B2/12,Assumptions!B4*12,M129)</f>
        <v/>
      </c>
      <c r="O129" s="3">
        <f>E129*Assumptions!B5/12</f>
        <v/>
      </c>
      <c r="P129" s="3">
        <f>Assumptions!B6</f>
        <v/>
      </c>
      <c r="Q129" s="3">
        <f>Assumptions!B7+Assumptions!B8</f>
        <v/>
      </c>
      <c r="R129" s="3">
        <f>N129+F129+O129+P129+Q129</f>
        <v/>
      </c>
      <c r="S129" s="3" t="n">
        <v>1235</v>
      </c>
      <c r="T129" s="3">
        <f>R129-S129*MAX(IFERROR(G129-1,0),0)</f>
        <v/>
      </c>
      <c r="X129" s="8" t="n">
        <v>1.7</v>
      </c>
      <c r="Y129" t="inlineStr">
        <is>
          <t>Yellow</t>
        </is>
      </c>
    </row>
    <row r="130">
      <c r="A130" s="10" t="inlineStr">
        <is>
          <t>28 Westgate Rd #3, Chestnut Hill, MA 02467</t>
        </is>
      </c>
      <c r="B130" t="inlineStr">
        <is>
          <t>Newton</t>
        </is>
      </c>
      <c r="C130" s="6" t="inlineStr">
        <is>
          <t>https://www.redfin.com/MA/Chestnut-Hill/28-Westgate-Rd-02467/unit-3/home/9204984</t>
        </is>
      </c>
      <c r="D130" s="7" t="n"/>
      <c r="E130" s="3" t="n">
        <v>399900</v>
      </c>
      <c r="F130" s="3" t="n">
        <v>424</v>
      </c>
      <c r="G130" t="n">
        <v>1</v>
      </c>
      <c r="H130" t="n">
        <v>1</v>
      </c>
      <c r="I130" s="4" t="n">
        <v>575</v>
      </c>
      <c r="J130" t="inlineStr">
        <is>
          <t>No</t>
        </is>
      </c>
      <c r="K130" t="inlineStr">
        <is>
          <t>1 space</t>
        </is>
      </c>
      <c r="L130" s="3">
        <f>Assumptions!B3</f>
        <v/>
      </c>
      <c r="M130" s="3">
        <f>E130-L130</f>
        <v/>
      </c>
      <c r="N130" s="3">
        <f>-PMT(Assumptions!B2/12,Assumptions!B4*12,M130)</f>
        <v/>
      </c>
      <c r="O130" s="3">
        <f>E130*Assumptions!B5/12</f>
        <v/>
      </c>
      <c r="P130" s="3">
        <f>Assumptions!B6</f>
        <v/>
      </c>
      <c r="Q130" s="3">
        <f>Assumptions!B7+Assumptions!B8</f>
        <v/>
      </c>
      <c r="R130" s="3">
        <f>N130+F130+O130+P130+Q130</f>
        <v/>
      </c>
      <c r="S130" s="3" t="n">
        <v>0</v>
      </c>
      <c r="T130" s="3">
        <f>R130-S130*MAX(IFERROR(G130-1,0),0)</f>
        <v/>
      </c>
      <c r="U130" t="n">
        <v>6.5</v>
      </c>
      <c r="V130" t="n">
        <v>23.5</v>
      </c>
      <c r="W130" t="n">
        <v>22</v>
      </c>
      <c r="X130" s="8" t="n">
        <v>1.65</v>
      </c>
      <c r="Y130" t="inlineStr">
        <is>
          <t>Red</t>
        </is>
      </c>
    </row>
    <row r="131">
      <c r="A131" s="10" t="inlineStr">
        <is>
          <t>2353 Massachusetts Ave #44, Cambridge, MA 02140</t>
        </is>
      </c>
      <c r="B131" t="inlineStr">
        <is>
          <t>Cambridge</t>
        </is>
      </c>
      <c r="C131" s="6" t="inlineStr">
        <is>
          <t>https://www.redfin.com/MA/Cambridge/2353-Massachusetts-Ave-02140/unit-44/home/11579692</t>
        </is>
      </c>
      <c r="D131" s="7" t="n"/>
      <c r="E131" s="3" t="n">
        <v>550000</v>
      </c>
      <c r="F131" s="3" t="n">
        <v>421</v>
      </c>
      <c r="G131" t="n">
        <v>1</v>
      </c>
      <c r="H131" t="n">
        <v>1</v>
      </c>
      <c r="I131" s="4" t="n">
        <v>684</v>
      </c>
      <c r="J131" t="inlineStr">
        <is>
          <t>No</t>
        </is>
      </c>
      <c r="K131" t="inlineStr">
        <is>
          <t>2 spaces</t>
        </is>
      </c>
      <c r="L131" s="3">
        <f>Assumptions!B3</f>
        <v/>
      </c>
      <c r="M131" s="3">
        <f>E131-L131</f>
        <v/>
      </c>
      <c r="N131" s="3">
        <f>-PMT(Assumptions!B2/12,Assumptions!B4*12,M131)</f>
        <v/>
      </c>
      <c r="O131" s="3">
        <f>E131*Assumptions!B5/12</f>
        <v/>
      </c>
      <c r="P131" s="3">
        <f>Assumptions!B6</f>
        <v/>
      </c>
      <c r="Q131" s="3">
        <f>Assumptions!B7+Assumptions!B8</f>
        <v/>
      </c>
      <c r="R131" s="3">
        <f>N131+F131+O131+P131+Q131</f>
        <v/>
      </c>
      <c r="S131" s="3" t="n">
        <v>0</v>
      </c>
      <c r="T131" s="3">
        <f>R131-S131*MAX(IFERROR(G131-1,0),0)</f>
        <v/>
      </c>
      <c r="U131" t="n">
        <v>4.4</v>
      </c>
      <c r="V131" t="n">
        <v>15.1</v>
      </c>
      <c r="W131" t="n">
        <v>12.7</v>
      </c>
      <c r="X131" s="8" t="n">
        <v>1.65</v>
      </c>
      <c r="Y131" t="inlineStr">
        <is>
          <t>Red</t>
        </is>
      </c>
    </row>
    <row r="132">
      <c r="A132" s="10" t="inlineStr">
        <is>
          <t>21 Totman St #403, Quincy, MA 02169</t>
        </is>
      </c>
      <c r="B132" t="inlineStr">
        <is>
          <t>Quincy</t>
        </is>
      </c>
      <c r="C132" s="6" t="inlineStr">
        <is>
          <t>https://www.redfin.com/MA/Quincy/21-Totman-St-02169/unit-403/home/200992802</t>
        </is>
      </c>
      <c r="D132" s="7" t="n"/>
      <c r="E132" s="3" t="n">
        <v>505000</v>
      </c>
      <c r="F132" s="3" t="n">
        <v>327</v>
      </c>
      <c r="G132" t="n">
        <v>1</v>
      </c>
      <c r="H132" t="n">
        <v>1</v>
      </c>
      <c r="I132" s="4" t="n">
        <v>679</v>
      </c>
      <c r="J132" t="inlineStr">
        <is>
          <t>No</t>
        </is>
      </c>
      <c r="K132" t="inlineStr">
        <is>
          <t>1 space</t>
        </is>
      </c>
      <c r="L132" s="3">
        <f>Assumptions!B3</f>
        <v/>
      </c>
      <c r="M132" s="3">
        <f>E132-L132</f>
        <v/>
      </c>
      <c r="N132" s="3">
        <f>-PMT(Assumptions!B2/12,Assumptions!B4*12,M132)</f>
        <v/>
      </c>
      <c r="O132" s="3">
        <f>E132*Assumptions!B5/12</f>
        <v/>
      </c>
      <c r="P132" s="3">
        <f>Assumptions!B6</f>
        <v/>
      </c>
      <c r="Q132" s="3">
        <f>Assumptions!B7+Assumptions!B8</f>
        <v/>
      </c>
      <c r="R132" s="3">
        <f>N132+F132+O132+P132+Q132</f>
        <v/>
      </c>
      <c r="S132" s="3" t="n">
        <v>0</v>
      </c>
      <c r="T132" s="3">
        <f>R132-S132*MAX(IFERROR(G132-1,0),0)</f>
        <v/>
      </c>
      <c r="U132" t="n">
        <v>2.3</v>
      </c>
      <c r="V132" t="n">
        <v>18.3</v>
      </c>
      <c r="W132" t="n">
        <v>22.4</v>
      </c>
      <c r="X132" s="8" t="n">
        <v>1.65</v>
      </c>
      <c r="Y132" t="inlineStr">
        <is>
          <t>Red</t>
        </is>
      </c>
    </row>
    <row r="133">
      <c r="A133" s="10" t="inlineStr">
        <is>
          <t>17 Robbins St Unit 2-2, Waltham, MA 02453</t>
        </is>
      </c>
      <c r="B133" t="inlineStr">
        <is>
          <t>Waltham</t>
        </is>
      </c>
      <c r="C133" s="6" t="inlineStr">
        <is>
          <t>https://www.redfin.com/MA/Waltham/17-Robbins-St-02453/unit-2-2/home/18960411</t>
        </is>
      </c>
      <c r="D133" s="7" t="n"/>
      <c r="E133" s="3" t="n">
        <v>540000</v>
      </c>
      <c r="F133" s="3" t="n">
        <v>350</v>
      </c>
      <c r="G133" t="n">
        <v>1</v>
      </c>
      <c r="H133" t="n">
        <v>1</v>
      </c>
      <c r="I133" s="4" t="n">
        <v>800</v>
      </c>
      <c r="J133" t="inlineStr">
        <is>
          <t>No</t>
        </is>
      </c>
      <c r="K133" t="inlineStr">
        <is>
          <t>1 space</t>
        </is>
      </c>
      <c r="L133" s="3">
        <f>Assumptions!B3</f>
        <v/>
      </c>
      <c r="M133" s="3">
        <f>E133-L133</f>
        <v/>
      </c>
      <c r="N133" s="3">
        <f>-PMT(Assumptions!B2/12,Assumptions!B4*12,M133)</f>
        <v/>
      </c>
      <c r="O133" s="3">
        <f>E133*Assumptions!B5/12</f>
        <v/>
      </c>
      <c r="P133" s="3">
        <f>Assumptions!B6</f>
        <v/>
      </c>
      <c r="Q133" s="3">
        <f>Assumptions!B7+Assumptions!B8</f>
        <v/>
      </c>
      <c r="R133" s="3">
        <f>N133+F133+O133+P133+Q133</f>
        <v/>
      </c>
      <c r="S133" s="3" t="n">
        <v>0</v>
      </c>
      <c r="T133" s="3">
        <f>R133-S133*MAX(IFERROR(G133-1,0),0)</f>
        <v/>
      </c>
      <c r="U133" t="n">
        <v>6.9</v>
      </c>
      <c r="V133" t="n">
        <v>20.3</v>
      </c>
      <c r="W133" t="n">
        <v>20.8</v>
      </c>
      <c r="X133" s="8" t="n">
        <v>1.6</v>
      </c>
      <c r="Y133" t="inlineStr">
        <is>
          <t>Red</t>
        </is>
      </c>
    </row>
    <row r="134">
      <c r="A134" s="10" t="inlineStr">
        <is>
          <t>29 Concord Ave #501, Cambridge, MA 02138</t>
        </is>
      </c>
      <c r="B134" t="inlineStr">
        <is>
          <t>Cambridge</t>
        </is>
      </c>
      <c r="C134" s="6" t="inlineStr">
        <is>
          <t>https://www.redfin.com/MA/Cambridge/29-Concord-Ave-02138/unit-501/home/11586445</t>
        </is>
      </c>
      <c r="D134" s="7" t="inlineStr">
        <is>
          <t>2026-04-08</t>
        </is>
      </c>
      <c r="E134" s="3" t="n">
        <v>525000</v>
      </c>
      <c r="F134" s="3" t="n">
        <v>437</v>
      </c>
      <c r="G134" t="n">
        <v>0</v>
      </c>
      <c r="H134" t="n">
        <v>1</v>
      </c>
      <c r="I134" s="4" t="n">
        <v>414</v>
      </c>
      <c r="J134" t="inlineStr">
        <is>
          <t>No</t>
        </is>
      </c>
      <c r="K134" t="inlineStr">
        <is>
          <t>0 spaces</t>
        </is>
      </c>
      <c r="L134" s="3">
        <f>Assumptions!B3</f>
        <v/>
      </c>
      <c r="M134" s="3">
        <f>E134-L134</f>
        <v/>
      </c>
      <c r="N134" s="3">
        <f>-PMT(Assumptions!B2/12,Assumptions!B4*12,M134)</f>
        <v/>
      </c>
      <c r="O134" s="3">
        <f>E134*Assumptions!B5/12</f>
        <v/>
      </c>
      <c r="P134" s="3">
        <f>Assumptions!B6</f>
        <v/>
      </c>
      <c r="Q134" s="3">
        <f>Assumptions!B7+Assumptions!B8</f>
        <v/>
      </c>
      <c r="R134" s="3">
        <f>N134+F134+O134+P134+Q134</f>
        <v/>
      </c>
      <c r="S134" s="3" t="n">
        <v>0</v>
      </c>
      <c r="T134" s="3">
        <f>R134-S134*MAX(IFERROR(G134-1,0),0)</f>
        <v/>
      </c>
      <c r="X134" s="8" t="n">
        <v>1.6</v>
      </c>
      <c r="Y134" t="inlineStr">
        <is>
          <t>Red</t>
        </is>
      </c>
    </row>
    <row r="135">
      <c r="A135" s="10" t="inlineStr">
        <is>
          <t>269 Harvard St #19, Cambridge, MA 02139</t>
        </is>
      </c>
      <c r="B135" t="inlineStr">
        <is>
          <t>Cambridge</t>
        </is>
      </c>
      <c r="C135" s="6" t="inlineStr">
        <is>
          <t>https://www.redfin.com/MA/Cambridge/269-Harvard-St-02139/unit-19/home/11562614</t>
        </is>
      </c>
      <c r="D135" s="7" t="inlineStr">
        <is>
          <t>2026-04-09</t>
        </is>
      </c>
      <c r="E135" s="3" t="n">
        <v>595000</v>
      </c>
      <c r="F135" s="3" t="n">
        <v>398</v>
      </c>
      <c r="G135" t="n">
        <v>1</v>
      </c>
      <c r="H135" t="n">
        <v>1</v>
      </c>
      <c r="I135" s="4" t="n">
        <v>557</v>
      </c>
      <c r="J135" t="inlineStr">
        <is>
          <t>No</t>
        </is>
      </c>
      <c r="K135" t="inlineStr">
        <is>
          <t>0 spaces</t>
        </is>
      </c>
      <c r="L135" s="3">
        <f>Assumptions!B3</f>
        <v/>
      </c>
      <c r="M135" s="3">
        <f>E135-L135</f>
        <v/>
      </c>
      <c r="N135" s="3">
        <f>-PMT(Assumptions!B2/12,Assumptions!B4*12,M135)</f>
        <v/>
      </c>
      <c r="O135" s="3">
        <f>E135*Assumptions!B5/12</f>
        <v/>
      </c>
      <c r="P135" s="3">
        <f>Assumptions!B6</f>
        <v/>
      </c>
      <c r="Q135" s="3">
        <f>Assumptions!B7+Assumptions!B8</f>
        <v/>
      </c>
      <c r="R135" s="3">
        <f>N135+F135+O135+P135+Q135</f>
        <v/>
      </c>
      <c r="S135" s="3" t="n">
        <v>0</v>
      </c>
      <c r="T135" s="3">
        <f>R135-S135*MAX(IFERROR(G135-1,0),0)</f>
        <v/>
      </c>
      <c r="X135" s="8" t="n">
        <v>1.6</v>
      </c>
      <c r="Y135" t="inlineStr">
        <is>
          <t>Red</t>
        </is>
      </c>
    </row>
    <row r="136">
      <c r="A136" s="10" t="inlineStr">
        <is>
          <t>131 Park Dr #12, Boston, MA 02215</t>
        </is>
      </c>
      <c r="B136" t="inlineStr">
        <is>
          <t>Brookline</t>
        </is>
      </c>
      <c r="C136" s="6" t="inlineStr">
        <is>
          <t>https://www.redfin.com/MA/Boston/131-Park-Dr-02215/unit-12/home/11735495</t>
        </is>
      </c>
      <c r="D136" s="7" t="inlineStr">
        <is>
          <t>2026-04-08</t>
        </is>
      </c>
      <c r="E136" s="3" t="n">
        <v>505000</v>
      </c>
      <c r="F136" s="3" t="n">
        <v>399</v>
      </c>
      <c r="G136" t="n">
        <v>1</v>
      </c>
      <c r="H136" t="n">
        <v>1</v>
      </c>
      <c r="I136" s="4" t="n">
        <v>500</v>
      </c>
      <c r="J136" t="inlineStr">
        <is>
          <t>No</t>
        </is>
      </c>
      <c r="K136" t="inlineStr">
        <is>
          <t>0 spaces</t>
        </is>
      </c>
      <c r="L136" s="3">
        <f>Assumptions!B3</f>
        <v/>
      </c>
      <c r="M136" s="3">
        <f>E136-L136</f>
        <v/>
      </c>
      <c r="N136" s="3">
        <f>-PMT(Assumptions!B2/12,Assumptions!B4*12,M136)</f>
        <v/>
      </c>
      <c r="O136" s="3">
        <f>E136*Assumptions!B5/12</f>
        <v/>
      </c>
      <c r="P136" s="3">
        <f>Assumptions!B6</f>
        <v/>
      </c>
      <c r="Q136" s="3">
        <f>Assumptions!B7+Assumptions!B8</f>
        <v/>
      </c>
      <c r="R136" s="3">
        <f>N136+F136+O136+P136+Q136</f>
        <v/>
      </c>
      <c r="S136" s="3" t="n">
        <v>0</v>
      </c>
      <c r="T136" s="3">
        <f>R136-S136*MAX(IFERROR(G136-1,0),0)</f>
        <v/>
      </c>
      <c r="X136" s="8" t="n">
        <v>1.6</v>
      </c>
      <c r="Y136" t="inlineStr">
        <is>
          <t>Red</t>
        </is>
      </c>
    </row>
    <row r="137">
      <c r="A137" s="10" t="inlineStr">
        <is>
          <t>66 Queensberry St #221, Boston, MA 02115</t>
        </is>
      </c>
      <c r="B137" t="inlineStr">
        <is>
          <t>Brookline</t>
        </is>
      </c>
      <c r="C137" s="6" t="inlineStr">
        <is>
          <t>https://www.redfin.com/MA/Boston/66-Queensberry-St-02215/unit-221/home/9241434</t>
        </is>
      </c>
      <c r="D137" s="7" t="inlineStr">
        <is>
          <t>2026-04-08</t>
        </is>
      </c>
      <c r="E137" s="3" t="n">
        <v>552000</v>
      </c>
      <c r="F137" s="3" t="n">
        <v>350</v>
      </c>
      <c r="G137" t="n">
        <v>1</v>
      </c>
      <c r="H137" t="n">
        <v>1</v>
      </c>
      <c r="I137" s="4" t="n">
        <v>540</v>
      </c>
      <c r="J137" t="inlineStr">
        <is>
          <t>No</t>
        </is>
      </c>
      <c r="K137" t="inlineStr">
        <is>
          <t>0 spaces</t>
        </is>
      </c>
      <c r="L137" s="3">
        <f>Assumptions!B3</f>
        <v/>
      </c>
      <c r="M137" s="3">
        <f>E137-L137</f>
        <v/>
      </c>
      <c r="N137" s="3">
        <f>-PMT(Assumptions!B2/12,Assumptions!B4*12,M137)</f>
        <v/>
      </c>
      <c r="O137" s="3">
        <f>E137*Assumptions!B5/12</f>
        <v/>
      </c>
      <c r="P137" s="3">
        <f>Assumptions!B6</f>
        <v/>
      </c>
      <c r="Q137" s="3">
        <f>Assumptions!B7+Assumptions!B8</f>
        <v/>
      </c>
      <c r="R137" s="3">
        <f>N137+F137+O137+P137+Q137</f>
        <v/>
      </c>
      <c r="S137" s="3" t="n">
        <v>0</v>
      </c>
      <c r="T137" s="3">
        <f>R137-S137*MAX(IFERROR(G137-1,0),0)</f>
        <v/>
      </c>
      <c r="X137" s="8" t="n">
        <v>1.6</v>
      </c>
      <c r="Y137" t="inlineStr">
        <is>
          <t>Red</t>
        </is>
      </c>
    </row>
    <row r="138">
      <c r="A138" s="10" t="inlineStr">
        <is>
          <t>922 Beacon St #24, Boston, MA 02215</t>
        </is>
      </c>
      <c r="B138" t="inlineStr">
        <is>
          <t>Brookline</t>
        </is>
      </c>
      <c r="C138" s="6" t="inlineStr">
        <is>
          <t>https://www.redfin.com/MA/Boston/922-Beacon-St-02215/unit-24/home/9251146</t>
        </is>
      </c>
      <c r="D138" s="7" t="inlineStr">
        <is>
          <t>2026-04-08</t>
        </is>
      </c>
      <c r="E138" s="3" t="n">
        <v>589000</v>
      </c>
      <c r="F138" s="3" t="n">
        <v>401</v>
      </c>
      <c r="G138" t="n">
        <v>1</v>
      </c>
      <c r="H138" t="n">
        <v>1</v>
      </c>
      <c r="I138" s="4" t="n">
        <v>534</v>
      </c>
      <c r="J138" t="inlineStr">
        <is>
          <t>No</t>
        </is>
      </c>
      <c r="K138" t="inlineStr">
        <is>
          <t>0 spaces</t>
        </is>
      </c>
      <c r="L138" s="3">
        <f>Assumptions!B3</f>
        <v/>
      </c>
      <c r="M138" s="3">
        <f>E138-L138</f>
        <v/>
      </c>
      <c r="N138" s="3">
        <f>-PMT(Assumptions!B2/12,Assumptions!B4*12,M138)</f>
        <v/>
      </c>
      <c r="O138" s="3">
        <f>E138*Assumptions!B5/12</f>
        <v/>
      </c>
      <c r="P138" s="3">
        <f>Assumptions!B6</f>
        <v/>
      </c>
      <c r="Q138" s="3">
        <f>Assumptions!B7+Assumptions!B8</f>
        <v/>
      </c>
      <c r="R138" s="3">
        <f>N138+F138+O138+P138+Q138</f>
        <v/>
      </c>
      <c r="S138" s="3" t="n">
        <v>0</v>
      </c>
      <c r="T138" s="3">
        <f>R138-S138*MAX(IFERROR(G138-1,0),0)</f>
        <v/>
      </c>
      <c r="X138" s="8" t="n">
        <v>1.5</v>
      </c>
      <c r="Y138" t="inlineStr">
        <is>
          <t>Red</t>
        </is>
      </c>
    </row>
  </sheetData>
  <conditionalFormatting sqref="Y2:Y138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2026-04-15T04:25:27Z</dcterms:created>
  <dcterms:modified xmlns:dcterms="http://purl.org/dc/terms/" xmlns:xsi="http://www.w3.org/2001/XMLSchema-instance" xsi:type="dcterms:W3CDTF">2026-04-15T04:25:27Z</dcterms:modified>
</cp:coreProperties>
</file>