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0" fontId="2" fillId="0" borderId="0" pivotButton="0" quotePrefix="0" xfId="1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redfin.com/MA/Chestnut-Hill/60-Bryon-Rd-02467/unit-1/home/9204335" TargetMode="External" Id="rId1" /><Relationship Type="http://schemas.openxmlformats.org/officeDocument/2006/relationships/hyperlink" Target="https://www.redfin.com/MA/Quincy/212-Quincy-Shore-Dr-02171/home/9009303" TargetMode="External" Id="rId2" /><Relationship Type="http://schemas.openxmlformats.org/officeDocument/2006/relationships/hyperlink" Target="https://www.redfin.com/MA/Newton/975-Washington-St-02460/home/199915977" TargetMode="External" Id="rId3" /><Relationship Type="http://schemas.openxmlformats.org/officeDocument/2006/relationships/hyperlink" Target="https://www.redfin.com/MA/Brighton/7-Cypress-Rd-02135/unit-703/home/9016137" TargetMode="External" Id="rId4" /><Relationship Type="http://schemas.openxmlformats.org/officeDocument/2006/relationships/hyperlink" Target="https://www.redfin.com/MA/Brighton/88-Gordon-St-02135/unit-305/home/9012102" TargetMode="External" Id="rId5" /><Relationship Type="http://schemas.openxmlformats.org/officeDocument/2006/relationships/hyperlink" Target="https://www.redfin.com/MA/Brighton/198-Allston-St-02135/unit-3/home/9013031" TargetMode="External" Id="rId6" /><Relationship Type="http://schemas.openxmlformats.org/officeDocument/2006/relationships/hyperlink" Target="https://www.redfin.com/MA/Medford/0-Gordon-Rd-02155/home/187063221" TargetMode="External" Id="rId7" /><Relationship Type="http://schemas.openxmlformats.org/officeDocument/2006/relationships/hyperlink" Target="https://www.redfin.com/MA/Quincy/18-Allerton-St-02169/home/110011603" TargetMode="External" Id="rId8" /><Relationship Type="http://schemas.openxmlformats.org/officeDocument/2006/relationships/hyperlink" Target="https://www.redfin.com/MA/Brighton/461-Washington-St-02135/unit-301/home/11503967" TargetMode="External" Id="rId9" /><Relationship Type="http://schemas.openxmlformats.org/officeDocument/2006/relationships/hyperlink" Target="https://www.redfin.com/MA/Allston/10-Scottfield-Rd-02134/unit-2/home/9000250" TargetMode="External" Id="rId10" /><Relationship Type="http://schemas.openxmlformats.org/officeDocument/2006/relationships/hyperlink" Target="https://www.redfin.com/MA/Somerville/8-Avon-St-02143/unit-10/home/8759429" TargetMode="External" Id="rId11" /><Relationship Type="http://schemas.openxmlformats.org/officeDocument/2006/relationships/hyperlink" Target="https://www.redfin.com/MA/Cambridge/199-Prospect-St-02139/unit-A1/home/110093910" TargetMode="External" Id="rId12" /><Relationship Type="http://schemas.openxmlformats.org/officeDocument/2006/relationships/hyperlink" Target="https://www.redfin.com/MA/Quincy/40-Cross-St-02169/unit-1/home/8963459" TargetMode="External" Id="rId13" /><Relationship Type="http://schemas.openxmlformats.org/officeDocument/2006/relationships/hyperlink" Target="https://www.redfin.com/MA/Watertown/186-Lexington-St-02472/unit-8/home/11690422" TargetMode="External" Id="rId14" /><Relationship Type="http://schemas.openxmlformats.org/officeDocument/2006/relationships/hyperlink" Target="https://www.redfin.com/MA/Watertown/194-Lexington-St-02472/unit-1/home/11690433" TargetMode="External" Id="rId15" /><Relationship Type="http://schemas.openxmlformats.org/officeDocument/2006/relationships/hyperlink" Target="https://www.redfin.com/MA/Watertown/133-Warren-St-02472/unit-3/home/11690534" TargetMode="External" Id="rId16" /><Relationship Type="http://schemas.openxmlformats.org/officeDocument/2006/relationships/hyperlink" Target="https://www.redfin.com/MA/Watertown/38-Carey-Ave-02472/unit-3/home/11690323" TargetMode="External" Id="rId17" /><Relationship Type="http://schemas.openxmlformats.org/officeDocument/2006/relationships/hyperlink" Target="https://www.redfin.com/MA/Brighton/1564-Commonwealth-Ave-02135/unit-3/home/9017145" TargetMode="External" Id="rId18" /><Relationship Type="http://schemas.openxmlformats.org/officeDocument/2006/relationships/hyperlink" Target="https://www.redfin.com/MA/Allston/45-Gordon-St-02134/unit-4/home/8999903" TargetMode="External" Id="rId19" /><Relationship Type="http://schemas.openxmlformats.org/officeDocument/2006/relationships/hyperlink" Target="https://www.redfin.com/MA/Boston/69-Park-Dr-02215/unit-10/home/9274080" TargetMode="External" Id="rId20" /><Relationship Type="http://schemas.openxmlformats.org/officeDocument/2006/relationships/hyperlink" Target="https://www.redfin.com/MA/Quincy/195-Thomas-Burgin-Pkwy-02169/unit-301/home/8931809" TargetMode="External" Id="rId21" /><Relationship Type="http://schemas.openxmlformats.org/officeDocument/2006/relationships/hyperlink" Target="https://www.redfin.com/MA/Quincy/195-Thomas-Burgin-Pkwy-02169/unit-212/home/8931803" TargetMode="External" Id="rId22" /><Relationship Type="http://schemas.openxmlformats.org/officeDocument/2006/relationships/hyperlink" Target="https://www.redfin.com/MA/Quincy/1025-Hancock-St-02169/unit-2K/home/9032191" TargetMode="External" Id="rId23" /><Relationship Type="http://schemas.openxmlformats.org/officeDocument/2006/relationships/hyperlink" Target="https://www.redfin.com/MA/Waltham/10-Naviens-Ln-02453/unit-1/home/76478882" TargetMode="External" Id="rId24" /><Relationship Type="http://schemas.openxmlformats.org/officeDocument/2006/relationships/hyperlink" Target="https://www.redfin.com/MA/Chestnut-Hill/66-Bryon-Rd-02467/unit-2/home/9204203" TargetMode="External" Id="rId25" /><Relationship Type="http://schemas.openxmlformats.org/officeDocument/2006/relationships/hyperlink" Target="https://www.redfin.com/MA/Brighton/5-Braemore-Rd-02135/unit-10/home/9308549" TargetMode="External" Id="rId26" /><Relationship Type="http://schemas.openxmlformats.org/officeDocument/2006/relationships/hyperlink" Target="https://www.redfin.com/MA/Brighton/354-Market-St-02135/unit-9/home/9025930" TargetMode="External" Id="rId27" /><Relationship Type="http://schemas.openxmlformats.org/officeDocument/2006/relationships/hyperlink" Target="https://www.redfin.com/MA/Brighton/1641-Commonwealth-Ave-02135/unit-16/home/9002891" TargetMode="External" Id="rId28" /><Relationship Type="http://schemas.openxmlformats.org/officeDocument/2006/relationships/hyperlink" Target="https://www.redfin.com/MA/Allston/239-Kelton-St-02134/unit-41/home/9001010" TargetMode="External" Id="rId29" /><Relationship Type="http://schemas.openxmlformats.org/officeDocument/2006/relationships/hyperlink" Target="https://www.redfin.com/MA/Boston/466-Commonwealth-Ave-02215/unit-305/home/9269210" TargetMode="External" Id="rId30" /><Relationship Type="http://schemas.openxmlformats.org/officeDocument/2006/relationships/hyperlink" Target="https://www.redfin.com/MA/Boston/64-Queensberry-St-02215/unit-114/home/9241481" TargetMode="External" Id="rId31" /><Relationship Type="http://schemas.openxmlformats.org/officeDocument/2006/relationships/hyperlink" Target="https://www.redfin.com/MA/Medford/32-Almont-St-02155/unit-32-1/home/11802621" TargetMode="External" Id="rId32" /><Relationship Type="http://schemas.openxmlformats.org/officeDocument/2006/relationships/hyperlink" Target="https://www.redfin.com/MA/Cambridge/872-Massachusetts-Ave-02139/unit-303/home/136730647" TargetMode="External" Id="rId33" /><Relationship Type="http://schemas.openxmlformats.org/officeDocument/2006/relationships/hyperlink" Target="https://www.redfin.com/MA/Brighton/88-Gordon-St-02135/unit-304/home/9226535" TargetMode="External" Id="rId34" /><Relationship Type="http://schemas.openxmlformats.org/officeDocument/2006/relationships/hyperlink" Target="https://www.redfin.com/MA/Brighton/15-Commonwealth-Ct-02135/unit-10/home/9014600" TargetMode="External" Id="rId35" /><Relationship Type="http://schemas.openxmlformats.org/officeDocument/2006/relationships/hyperlink" Target="https://www.redfin.com/MA/Brighton/1691-Commonwealth-Ave-02135/unit-31/home/9020583" TargetMode="External" Id="rId36" /><Relationship Type="http://schemas.openxmlformats.org/officeDocument/2006/relationships/hyperlink" Target="https://www.redfin.com/MA/Boston/191-Washington-St-02135/home/184088757" TargetMode="External" Id="rId37" /><Relationship Type="http://schemas.openxmlformats.org/officeDocument/2006/relationships/hyperlink" Target="https://www.redfin.com/MA/Somerville/17-Buckingham-St-02143/unit-3/home/200344678" TargetMode="External" Id="rId38" /><Relationship Type="http://schemas.openxmlformats.org/officeDocument/2006/relationships/hyperlink" Target="https://www.redfin.com/MA/Somerville/367-Somerville-Ave-02143/unit-G/home/8751476" TargetMode="External" Id="rId39" /><Relationship Type="http://schemas.openxmlformats.org/officeDocument/2006/relationships/hyperlink" Target="https://www.redfin.com/MA/Somerville/5-Waldo-Ave-02143/unit-2A/home/8759932" TargetMode="External" Id="rId40" /><Relationship Type="http://schemas.openxmlformats.org/officeDocument/2006/relationships/hyperlink" Target="https://www.redfin.com/MA/Cambridge/764-Cambridge-St-02141/unit-6/home/11601252" TargetMode="External" Id="rId41" /><Relationship Type="http://schemas.openxmlformats.org/officeDocument/2006/relationships/hyperlink" Target="https://www.redfin.com/MA/Medford/50-Water-St-02155/unit-24/home/11787534" TargetMode="External" Id="rId42" /><Relationship Type="http://schemas.openxmlformats.org/officeDocument/2006/relationships/hyperlink" Target="https://www.redfin.com/MA/Quincy/Quincy/1-Bedroom/home/197950895" TargetMode="External" Id="rId43" /><Relationship Type="http://schemas.openxmlformats.org/officeDocument/2006/relationships/hyperlink" Target="https://www.redfin.com/MA/Quincy/Quincy/2-Bedrooms/home/197950891" TargetMode="External" Id="rId44" /><Relationship Type="http://schemas.openxmlformats.org/officeDocument/2006/relationships/hyperlink" Target="https://www.redfin.com/MA/Waltham/16-Winter-St-02451/unit-26C/home/11804463" TargetMode="External" Id="rId45" /><Relationship Type="http://schemas.openxmlformats.org/officeDocument/2006/relationships/hyperlink" Target="https://www.redfin.com/MA/Waltham/31-Warren-St-02453/unit-B1/home/11815449" TargetMode="External" Id="rId46" /><Relationship Type="http://schemas.openxmlformats.org/officeDocument/2006/relationships/hyperlink" Target="https://www.redfin.com/MA/Newton/1151-Walnut-St-02461/unit-304/home/200156614" TargetMode="External" Id="rId47" /><Relationship Type="http://schemas.openxmlformats.org/officeDocument/2006/relationships/hyperlink" Target="https://www.redfin.com/MA/Chestnut-Hill/42-Bryon-Rd-02467/unit-6/home/9204495" TargetMode="External" Id="rId48" /><Relationship Type="http://schemas.openxmlformats.org/officeDocument/2006/relationships/hyperlink" Target="https://www.redfin.com/MA/Brighton/7-Lothian-Rd-02135/unit-B/home/9025402" TargetMode="External" Id="rId49" /><Relationship Type="http://schemas.openxmlformats.org/officeDocument/2006/relationships/hyperlink" Target="https://www.redfin.com/MA/Cambridge/6-Washington-Ave-02140/unit-11/home/11585376" TargetMode="External" Id="rId50" /><Relationship Type="http://schemas.openxmlformats.org/officeDocument/2006/relationships/hyperlink" Target="https://www.redfin.com/MA/Quincy/138-Quincy-Shore-Dr-02171/unit-170/home/9010050" TargetMode="External" Id="rId51" /><Relationship Type="http://schemas.openxmlformats.org/officeDocument/2006/relationships/hyperlink" Target="https://www.redfin.com/MA/Cambridge/35-Homer-Ave-02138/unit-7/home/12442078" TargetMode="External" Id="rId52" /><Relationship Type="http://schemas.openxmlformats.org/officeDocument/2006/relationships/hyperlink" Target="https://www.redfin.com/MA/Brighton/100-Lanark-Rd-02135/unit-8/home/9022520" TargetMode="External" Id="rId53" /><Relationship Type="http://schemas.openxmlformats.org/officeDocument/2006/relationships/hyperlink" Target="https://www.redfin.com/MA/Boston/4-Franklin-St-02134/unit-202/home/190592119" TargetMode="External" Id="rId54" /><Relationship Type="http://schemas.openxmlformats.org/officeDocument/2006/relationships/hyperlink" Target="https://www.redfin.com/MA/Cambridge/148-Berkshire-St-02141/unit-148-4/home/200523526" TargetMode="External" Id="rId55" /><Relationship Type="http://schemas.openxmlformats.org/officeDocument/2006/relationships/hyperlink" Target="https://www.redfin.com/MA/Boston/111-Jersey-St-02215/unit-15/home/9317643" TargetMode="External" Id="rId56" /><Relationship Type="http://schemas.openxmlformats.org/officeDocument/2006/relationships/hyperlink" Target="https://www.redfin.com/MA/Boston/390-Riverway-02115/unit-24/home/11836823" TargetMode="External" Id="rId57" /><Relationship Type="http://schemas.openxmlformats.org/officeDocument/2006/relationships/hyperlink" Target="https://www.redfin.com/MA/Quincy/388-Washington-St-02169/unit-101/home/200568725" TargetMode="External" Id="rId58" /><Relationship Type="http://schemas.openxmlformats.org/officeDocument/2006/relationships/hyperlink" Target="https://www.redfin.com/MA/Quincy/20-Whitney-Rd-02169/unit-U-1/home/200248173" TargetMode="External" Id="rId59" /><Relationship Type="http://schemas.openxmlformats.org/officeDocument/2006/relationships/hyperlink" Target="https://www.redfin.com/MA/Quincy/20-Whitney-Rd-02169/unit-101/home/196906729" TargetMode="External" Id="rId60" /><Relationship Type="http://schemas.openxmlformats.org/officeDocument/2006/relationships/hyperlink" Target="https://www.redfin.com/MA/Chestnut-Hill/10-Hammond-Pond-Pkwy-02467/unit-606/home/11481942" TargetMode="External" Id="rId61" /><Relationship Type="http://schemas.openxmlformats.org/officeDocument/2006/relationships/hyperlink" Target="https://www.redfin.com/MA/Watertown/56-Ralph-St-02472/unit-3/home/57314411" TargetMode="External" Id="rId62" /><Relationship Type="http://schemas.openxmlformats.org/officeDocument/2006/relationships/hyperlink" Target="https://www.redfin.com/MA/Brighton/60-Sutherland-Rd-02135/unit-4/home/9026345" TargetMode="External" Id="rId63" /><Relationship Type="http://schemas.openxmlformats.org/officeDocument/2006/relationships/hyperlink" Target="https://www.redfin.com/MA/Brighton/1945-Commonwealth-Ave-02135/unit-4/home/9242382" TargetMode="External" Id="rId64" /><Relationship Type="http://schemas.openxmlformats.org/officeDocument/2006/relationships/hyperlink" Target="https://www.redfin.com/MA/Brighton/26-Chiswick-Rd-02135/unit-6/home/9026723" TargetMode="External" Id="rId65" /><Relationship Type="http://schemas.openxmlformats.org/officeDocument/2006/relationships/hyperlink" Target="https://www.redfin.com/MA/Belmont/9-Henry-St-02478/unit-9/home/77513972" TargetMode="External" Id="rId66" /><Relationship Type="http://schemas.openxmlformats.org/officeDocument/2006/relationships/hyperlink" Target="https://www.redfin.com/MA/Brighton/99-Tremont-St-02135/unit-105/home/144873670" TargetMode="External" Id="rId67" /><Relationship Type="http://schemas.openxmlformats.org/officeDocument/2006/relationships/hyperlink" Target="https://www.redfin.com/MA/Boston/191-Washington-St-02135/unit-317/home/176134081" TargetMode="External" Id="rId68" /><Relationship Type="http://schemas.openxmlformats.org/officeDocument/2006/relationships/hyperlink" Target="https://www.redfin.com/MA/Cambridge/863-Massachusetts-Ave-02139/unit-25/home/11566175" TargetMode="External" Id="rId69" /><Relationship Type="http://schemas.openxmlformats.org/officeDocument/2006/relationships/hyperlink" Target="https://www.redfin.com/MA/Quincy/585-Washington-St-02169/unit-202/home/200582027" TargetMode="External" Id="rId70" /><Relationship Type="http://schemas.openxmlformats.org/officeDocument/2006/relationships/hyperlink" Target="https://www.redfin.com/MA/Quincy/87-Franklin-St-02169/unit-105/home/9037092" TargetMode="External" Id="rId71" /><Relationship Type="http://schemas.openxmlformats.org/officeDocument/2006/relationships/hyperlink" Target="https://www.redfin.com/MA/Quincy/21-Totman-St-02169/unit-203/home/199494634" TargetMode="External" Id="rId72" /><Relationship Type="http://schemas.openxmlformats.org/officeDocument/2006/relationships/hyperlink" Target="https://www.redfin.com/MA/Brighton/15-Colliston-Rd-02135/unit-6/home/9004520" TargetMode="External" Id="rId73" /><Relationship Type="http://schemas.openxmlformats.org/officeDocument/2006/relationships/hyperlink" Target="https://www.redfin.com/MA/Cambridge/11-Cogswell-Ave-02140/unit-15/home/11583274" TargetMode="External" Id="rId74" /><Relationship Type="http://schemas.openxmlformats.org/officeDocument/2006/relationships/hyperlink" Target="https://www.redfin.com/MA/Brighton/65-Strathmore-Rd-02135/unit-49/home/9024664" TargetMode="External" Id="rId75" /><Relationship Type="http://schemas.openxmlformats.org/officeDocument/2006/relationships/hyperlink" Target="https://www.redfin.com/MA/Quincy/21-Totman-St-02169/unit-404/home/199967272" TargetMode="External" Id="rId76" /><Relationship Type="http://schemas.openxmlformats.org/officeDocument/2006/relationships/hyperlink" Target="https://www.redfin.com/MA/Watertown/290-Pleasant-St-02472/unit-113/home/12404099" TargetMode="External" Id="rId77" /><Relationship Type="http://schemas.openxmlformats.org/officeDocument/2006/relationships/hyperlink" Target="https://www.redfin.com/MA/Arlington/995-Massachusetts-Ave-02476/unit-404/home/8418935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Interest Rate</t>
        </is>
      </c>
      <c r="B2" s="2" t="n">
        <v>0.065</v>
      </c>
    </row>
    <row r="3">
      <c r="A3" t="inlineStr">
        <is>
          <t>Down Payment $</t>
        </is>
      </c>
      <c r="B3" s="3" t="n">
        <v>20000</v>
      </c>
    </row>
    <row r="4">
      <c r="A4" t="inlineStr">
        <is>
          <t>Loan Term Years</t>
        </is>
      </c>
      <c r="B4" s="4" t="n">
        <v>30</v>
      </c>
    </row>
    <row r="5">
      <c r="A5" t="inlineStr">
        <is>
          <t>Property Tax Rate</t>
        </is>
      </c>
      <c r="B5" s="2" t="n">
        <v>0.012</v>
      </c>
    </row>
    <row r="6">
      <c r="A6" t="inlineStr">
        <is>
          <t>Insurance $/mo</t>
        </is>
      </c>
      <c r="B6" s="3" t="n">
        <v>150</v>
      </c>
    </row>
    <row r="7">
      <c r="A7" t="inlineStr">
        <is>
          <t>Utilities $/mo</t>
        </is>
      </c>
      <c r="B7" s="3" t="n">
        <v>250</v>
      </c>
    </row>
    <row r="8">
      <c r="A8" t="inlineStr">
        <is>
          <t>Internet $/mo</t>
        </is>
      </c>
      <c r="B8" s="3" t="n">
        <v>60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0" customWidth="1" min="4" max="4"/>
    <col width="10" customWidth="1" min="5" max="5"/>
    <col width="8" customWidth="1" min="6" max="6"/>
    <col width="9" customWidth="1" min="7" max="7"/>
    <col width="9" customWidth="1" min="8" max="8"/>
    <col width="19" customWidth="1" min="9" max="9"/>
    <col width="12" customWidth="1" min="10" max="10"/>
    <col width="19" customWidth="1" min="11" max="11"/>
    <col width="15" customWidth="1" min="12" max="12"/>
    <col width="50" customWidth="1" min="13" max="13"/>
    <col width="26" customWidth="1" min="14" max="14"/>
    <col width="19" customWidth="1" min="15" max="15"/>
    <col width="34" customWidth="1" min="16" max="16"/>
    <col width="24" customWidth="1" min="17" max="17"/>
    <col width="32" customWidth="1" min="18" max="18"/>
    <col width="20" customWidth="1" min="19" max="19"/>
    <col width="23" customWidth="1" min="20" max="20"/>
    <col width="26" customWidth="1" min="21" max="21"/>
    <col width="25" customWidth="1" min="22" max="22"/>
    <col width="16" customWidth="1" min="23" max="23"/>
    <col width="10" customWidth="1" min="24" max="24"/>
  </cols>
  <sheetData>
    <row r="1">
      <c r="A1" s="1" t="inlineStr">
        <is>
          <t>Address</t>
        </is>
      </c>
      <c r="B1" s="1" t="inlineStr">
        <is>
          <t>Town</t>
        </is>
      </c>
      <c r="C1" s="1" t="inlineStr">
        <is>
          <t>Listing URL</t>
        </is>
      </c>
      <c r="D1" s="1" t="inlineStr">
        <is>
          <t>Price</t>
        </is>
      </c>
      <c r="E1" s="1" t="inlineStr">
        <is>
          <t>HOA/mo</t>
        </is>
      </c>
      <c r="F1" s="1" t="inlineStr">
        <is>
          <t>Beds</t>
        </is>
      </c>
      <c r="G1" s="1" t="inlineStr">
        <is>
          <t>Baths</t>
        </is>
      </c>
      <c r="H1" s="1" t="inlineStr">
        <is>
          <t>Sq Ft</t>
        </is>
      </c>
      <c r="I1" s="1" t="inlineStr">
        <is>
          <t>In-Unit Laundry</t>
        </is>
      </c>
      <c r="J1" s="1" t="inlineStr">
        <is>
          <t>Parking</t>
        </is>
      </c>
      <c r="K1" s="1" t="inlineStr">
        <is>
          <t>Down Payment $</t>
        </is>
      </c>
      <c r="L1" s="1" t="inlineStr">
        <is>
          <t>Loan Amount</t>
        </is>
      </c>
      <c r="M1" s="1" t="inlineStr">
        <is>
          <t>Monthly Mortgage</t>
        </is>
      </c>
      <c r="N1" s="1" t="inlineStr">
        <is>
          <t>Property Tax/mo</t>
        </is>
      </c>
      <c r="O1" s="1" t="inlineStr">
        <is>
          <t>Insurance/mo</t>
        </is>
      </c>
      <c r="P1" s="1" t="inlineStr">
        <is>
          <t>Utilities+Internet</t>
        </is>
      </c>
      <c r="Q1" s="1" t="inlineStr">
        <is>
          <t>Total Monthly Cost</t>
        </is>
      </c>
      <c r="R1" s="1" t="inlineStr">
        <is>
          <t>Area Rental Price (Roommate)</t>
        </is>
      </c>
      <c r="S1" s="1" t="inlineStr">
        <is>
          <t>Net Monthly Cost</t>
        </is>
      </c>
      <c r="T1" s="1" t="inlineStr">
        <is>
          <t>Drive to MBTA (min)</t>
        </is>
      </c>
      <c r="U1" s="1" t="inlineStr">
        <is>
          <t>Drive to Seaport (min)</t>
        </is>
      </c>
      <c r="V1" s="1" t="inlineStr">
        <is>
          <t>Drive to Google (min)</t>
        </is>
      </c>
      <c r="W1" s="1" t="inlineStr">
        <is>
          <t>Rating Score</t>
        </is>
      </c>
      <c r="X1" s="1" t="inlineStr">
        <is>
          <t>Rating</t>
        </is>
      </c>
    </row>
    <row r="2">
      <c r="A2" s="5" t="inlineStr">
        <is>
          <t>60 Bryon Rd #1, Chestnut Hill, MA 02467</t>
        </is>
      </c>
      <c r="B2" t="inlineStr">
        <is>
          <t>Newton</t>
        </is>
      </c>
      <c r="C2" s="6" t="inlineStr">
        <is>
          <t>https://www.redfin.com/MA/Chestnut-Hill/60-Bryon-Rd-02467/unit-1/home/9204335</t>
        </is>
      </c>
      <c r="D2" s="3" t="n">
        <v>338399</v>
      </c>
      <c r="E2" s="3" t="n">
        <v>358</v>
      </c>
      <c r="F2" t="n">
        <v>2</v>
      </c>
      <c r="G2" t="n">
        <v>1</v>
      </c>
      <c r="H2" s="4" t="n">
        <v>786</v>
      </c>
      <c r="I2" t="inlineStr">
        <is>
          <t>No</t>
        </is>
      </c>
      <c r="J2" t="inlineStr">
        <is>
          <t>1 space</t>
        </is>
      </c>
      <c r="K2" s="3">
        <f>Assumptions!B3</f>
        <v/>
      </c>
      <c r="L2" s="3">
        <f>D2-K2</f>
        <v/>
      </c>
      <c r="M2" s="3">
        <f>-PMT(Assumptions!B2/12,Assumptions!B4*12,L2)</f>
        <v/>
      </c>
      <c r="N2" s="3">
        <f>D2*Assumptions!B5/12</f>
        <v/>
      </c>
      <c r="O2" s="3">
        <f>Assumptions!B6</f>
        <v/>
      </c>
      <c r="P2" s="3">
        <f>Assumptions!B7+Assumptions!B8</f>
        <v/>
      </c>
      <c r="Q2" s="3">
        <f>M2+E2+N2+O2+P2</f>
        <v/>
      </c>
      <c r="R2" s="3" t="n">
        <v>1430</v>
      </c>
      <c r="S2" s="3">
        <f>Q2-R2</f>
        <v/>
      </c>
      <c r="T2" t="n">
        <v>6.2</v>
      </c>
      <c r="U2" t="n">
        <v>23.2</v>
      </c>
      <c r="V2" t="n">
        <v>21.7</v>
      </c>
      <c r="W2" s="7" t="n">
        <v>2.45</v>
      </c>
      <c r="X2" t="inlineStr">
        <is>
          <t>Green</t>
        </is>
      </c>
    </row>
    <row r="3">
      <c r="A3" s="5" t="inlineStr">
        <is>
          <t>212-A Quincy Shore Dr, Quincy, MA 02171</t>
        </is>
      </c>
      <c r="B3" t="inlineStr">
        <is>
          <t>Quincy</t>
        </is>
      </c>
      <c r="C3" s="6" t="inlineStr">
        <is>
          <t>https://www.redfin.com/MA/Quincy/212-Quincy-Shore-Dr-02171/home/9009303</t>
        </is>
      </c>
      <c r="D3" s="3" t="n">
        <v>499900</v>
      </c>
      <c r="E3" s="3" t="n">
        <v>0</v>
      </c>
      <c r="F3" t="n">
        <v>2</v>
      </c>
      <c r="G3" t="n">
        <v>1</v>
      </c>
      <c r="H3" s="4" t="n">
        <v>864</v>
      </c>
      <c r="I3" t="inlineStr">
        <is>
          <t>No</t>
        </is>
      </c>
      <c r="J3" t="inlineStr">
        <is>
          <t>0 spaces</t>
        </is>
      </c>
      <c r="K3" s="3">
        <f>Assumptions!B3</f>
        <v/>
      </c>
      <c r="L3" s="3">
        <f>D3-K3</f>
        <v/>
      </c>
      <c r="M3" s="3">
        <f>-PMT(Assumptions!B2/12,Assumptions!B4*12,L3)</f>
        <v/>
      </c>
      <c r="N3" s="3">
        <f>D3*Assumptions!B5/12</f>
        <v/>
      </c>
      <c r="O3" s="3">
        <f>Assumptions!B6</f>
        <v/>
      </c>
      <c r="P3" s="3">
        <f>Assumptions!B7+Assumptions!B8</f>
        <v/>
      </c>
      <c r="Q3" s="3">
        <f>M3+E3+N3+O3+P3</f>
        <v/>
      </c>
      <c r="R3" s="3" t="n">
        <v>1170</v>
      </c>
      <c r="S3" s="3">
        <f>Q3-R3</f>
        <v/>
      </c>
      <c r="T3" t="n">
        <v>5</v>
      </c>
      <c r="U3" t="n">
        <v>12.6</v>
      </c>
      <c r="V3" t="n">
        <v>16.7</v>
      </c>
      <c r="W3" s="7" t="n">
        <v>2.4</v>
      </c>
      <c r="X3" t="inlineStr">
        <is>
          <t>Green</t>
        </is>
      </c>
    </row>
    <row r="4">
      <c r="A4" s="5" t="inlineStr">
        <is>
          <t>975 Washington Streeet, Newton, MA 02460</t>
        </is>
      </c>
      <c r="B4" t="inlineStr">
        <is>
          <t>Newton</t>
        </is>
      </c>
      <c r="C4" s="6" t="inlineStr">
        <is>
          <t>https://www.redfin.com/MA/Newton/975-Washington-St-02460/home/199915977</t>
        </is>
      </c>
      <c r="D4" s="3" t="n">
        <v>5</v>
      </c>
      <c r="E4" s="3" t="n">
        <v>0</v>
      </c>
      <c r="H4" s="4" t="n"/>
      <c r="I4" t="inlineStr">
        <is>
          <t>No</t>
        </is>
      </c>
      <c r="J4" t="inlineStr">
        <is>
          <t>Unknown</t>
        </is>
      </c>
      <c r="K4" s="3">
        <f>Assumptions!B3</f>
        <v/>
      </c>
      <c r="L4" s="3">
        <f>D4-K4</f>
        <v/>
      </c>
      <c r="M4" s="3">
        <f>-PMT(Assumptions!B2/12,Assumptions!B4*12,L4)</f>
        <v/>
      </c>
      <c r="N4" s="3">
        <f>D4*Assumptions!B5/12</f>
        <v/>
      </c>
      <c r="O4" s="3">
        <f>Assumptions!B6</f>
        <v/>
      </c>
      <c r="P4" s="3">
        <f>Assumptions!B7+Assumptions!B8</f>
        <v/>
      </c>
      <c r="Q4" s="3">
        <f>M4+E4+N4+O4+P4</f>
        <v/>
      </c>
      <c r="R4" s="3" t="n">
        <v>0</v>
      </c>
      <c r="S4" s="3">
        <f>Q4-R4</f>
        <v/>
      </c>
      <c r="T4" t="n">
        <v>6.1</v>
      </c>
      <c r="U4" t="n">
        <v>16.7</v>
      </c>
      <c r="V4" t="n">
        <v>17.3</v>
      </c>
      <c r="W4" s="7" t="n">
        <v>2.4</v>
      </c>
      <c r="X4" t="inlineStr">
        <is>
          <t>Green</t>
        </is>
      </c>
    </row>
    <row r="5">
      <c r="A5" s="5" t="inlineStr">
        <is>
          <t>7 Cypress Rd #703, Brighton, MA 02135</t>
        </is>
      </c>
      <c r="B5" t="inlineStr">
        <is>
          <t>Watertown</t>
        </is>
      </c>
      <c r="C5" s="6" t="inlineStr">
        <is>
          <t>https://www.redfin.com/MA/Brighton/7-Cypress-Rd-02135/unit-703/home/9016137</t>
        </is>
      </c>
      <c r="D5" s="3" t="n">
        <v>448000</v>
      </c>
      <c r="E5" s="3" t="n">
        <v>315</v>
      </c>
      <c r="F5" t="n">
        <v>2</v>
      </c>
      <c r="G5" t="n">
        <v>1</v>
      </c>
      <c r="H5" s="4" t="n">
        <v>576</v>
      </c>
      <c r="I5" t="inlineStr">
        <is>
          <t>No</t>
        </is>
      </c>
      <c r="J5" t="inlineStr">
        <is>
          <t>1 space</t>
        </is>
      </c>
      <c r="K5" s="3">
        <f>Assumptions!B3</f>
        <v/>
      </c>
      <c r="L5" s="3">
        <f>D5-K5</f>
        <v/>
      </c>
      <c r="M5" s="3">
        <f>-PMT(Assumptions!B2/12,Assumptions!B4*12,L5)</f>
        <v/>
      </c>
      <c r="N5" s="3">
        <f>D5*Assumptions!B5/12</f>
        <v/>
      </c>
      <c r="O5" s="3">
        <f>Assumptions!B6</f>
        <v/>
      </c>
      <c r="P5" s="3">
        <f>Assumptions!B7+Assumptions!B8</f>
        <v/>
      </c>
      <c r="Q5" s="3">
        <f>M5+E5+N5+O5+P5</f>
        <v/>
      </c>
      <c r="R5" s="3" t="n">
        <v>1365</v>
      </c>
      <c r="S5" s="3">
        <f>Q5-R5</f>
        <v/>
      </c>
      <c r="T5" t="n">
        <v>3.1</v>
      </c>
      <c r="U5" t="n">
        <v>13.2</v>
      </c>
      <c r="V5" t="n">
        <v>12.8</v>
      </c>
      <c r="W5" s="7" t="n">
        <v>2.4</v>
      </c>
      <c r="X5" t="inlineStr">
        <is>
          <t>Green</t>
        </is>
      </c>
    </row>
    <row r="6">
      <c r="A6" s="5" t="inlineStr">
        <is>
          <t>88 Gordon St #305, Brighton, MA 02135</t>
        </is>
      </c>
      <c r="B6" t="inlineStr">
        <is>
          <t>Brighton</t>
        </is>
      </c>
      <c r="C6" s="6" t="inlineStr">
        <is>
          <t>https://www.redfin.com/MA/Brighton/88-Gordon-St-02135/unit-305/home/9012102</t>
        </is>
      </c>
      <c r="D6" s="3" t="n">
        <v>299000</v>
      </c>
      <c r="E6" s="3" t="n">
        <v>292</v>
      </c>
      <c r="F6" t="n">
        <v>1</v>
      </c>
      <c r="G6" t="n">
        <v>1</v>
      </c>
      <c r="H6" s="4" t="n">
        <v>283</v>
      </c>
      <c r="I6" t="inlineStr">
        <is>
          <t>No</t>
        </is>
      </c>
      <c r="J6" t="inlineStr">
        <is>
          <t>0 spaces</t>
        </is>
      </c>
      <c r="K6" s="3">
        <f>Assumptions!B3</f>
        <v/>
      </c>
      <c r="L6" s="3">
        <f>D6-K6</f>
        <v/>
      </c>
      <c r="M6" s="3">
        <f>-PMT(Assumptions!B2/12,Assumptions!B4*12,L6)</f>
        <v/>
      </c>
      <c r="N6" s="3">
        <f>D6*Assumptions!B5/12</f>
        <v/>
      </c>
      <c r="O6" s="3">
        <f>Assumptions!B6</f>
        <v/>
      </c>
      <c r="P6" s="3">
        <f>Assumptions!B7+Assumptions!B8</f>
        <v/>
      </c>
      <c r="Q6" s="3">
        <f>M6+E6+N6+O6+P6</f>
        <v/>
      </c>
      <c r="R6" s="3" t="n">
        <v>0</v>
      </c>
      <c r="S6" s="3">
        <f>Q6-R6</f>
        <v/>
      </c>
      <c r="T6" t="n">
        <v>3.1</v>
      </c>
      <c r="U6" t="n">
        <v>12.6</v>
      </c>
      <c r="V6" t="n">
        <v>12.2</v>
      </c>
      <c r="W6" s="7" t="n">
        <v>2.4</v>
      </c>
      <c r="X6" t="inlineStr">
        <is>
          <t>Green</t>
        </is>
      </c>
    </row>
    <row r="7">
      <c r="A7" s="5" t="inlineStr">
        <is>
          <t>198 Allston St #3, Brighton, MA 02134</t>
        </is>
      </c>
      <c r="B7" t="inlineStr">
        <is>
          <t>Brighton</t>
        </is>
      </c>
      <c r="C7" s="6" t="inlineStr">
        <is>
          <t>https://www.redfin.com/MA/Brighton/198-Allston-St-02135/unit-3/home/9013031</t>
        </is>
      </c>
      <c r="D7" s="3" t="n">
        <v>270000</v>
      </c>
      <c r="E7" s="3" t="n">
        <v>295</v>
      </c>
      <c r="F7" t="n">
        <v>1</v>
      </c>
      <c r="G7" t="n">
        <v>1</v>
      </c>
      <c r="H7" s="4" t="n">
        <v>318</v>
      </c>
      <c r="I7" t="inlineStr">
        <is>
          <t>No</t>
        </is>
      </c>
      <c r="J7" t="inlineStr">
        <is>
          <t>0 spaces</t>
        </is>
      </c>
      <c r="K7" s="3">
        <f>Assumptions!B3</f>
        <v/>
      </c>
      <c r="L7" s="3">
        <f>D7-K7</f>
        <v/>
      </c>
      <c r="M7" s="3">
        <f>-PMT(Assumptions!B2/12,Assumptions!B4*12,L7)</f>
        <v/>
      </c>
      <c r="N7" s="3">
        <f>D7*Assumptions!B5/12</f>
        <v/>
      </c>
      <c r="O7" s="3">
        <f>Assumptions!B6</f>
        <v/>
      </c>
      <c r="P7" s="3">
        <f>Assumptions!B7+Assumptions!B8</f>
        <v/>
      </c>
      <c r="Q7" s="3">
        <f>M7+E7+N7+O7+P7</f>
        <v/>
      </c>
      <c r="R7" s="3" t="n">
        <v>0</v>
      </c>
      <c r="S7" s="3">
        <f>Q7-R7</f>
        <v/>
      </c>
      <c r="T7" t="n">
        <v>0.8</v>
      </c>
      <c r="U7" t="n">
        <v>12.4</v>
      </c>
      <c r="V7" t="n">
        <v>12</v>
      </c>
      <c r="W7" s="7" t="n">
        <v>2.4</v>
      </c>
      <c r="X7" t="inlineStr">
        <is>
          <t>Green</t>
        </is>
      </c>
    </row>
    <row r="8">
      <c r="A8" s="5" t="inlineStr">
        <is>
          <t>0 Gordon Rd, Medford, MA 02155</t>
        </is>
      </c>
      <c r="B8" t="inlineStr">
        <is>
          <t>Medford</t>
        </is>
      </c>
      <c r="C8" s="6" t="inlineStr">
        <is>
          <t>https://www.redfin.com/MA/Medford/0-Gordon-Rd-02155/home/187063221</t>
        </is>
      </c>
      <c r="D8" s="3" t="n">
        <v>369000</v>
      </c>
      <c r="E8" s="3" t="n">
        <v>0</v>
      </c>
      <c r="H8" s="4" t="n"/>
      <c r="I8" t="inlineStr">
        <is>
          <t>No</t>
        </is>
      </c>
      <c r="J8" t="inlineStr">
        <is>
          <t>Unknown</t>
        </is>
      </c>
      <c r="K8" s="3">
        <f>Assumptions!B3</f>
        <v/>
      </c>
      <c r="L8" s="3">
        <f>D8-K8</f>
        <v/>
      </c>
      <c r="M8" s="3">
        <f>-PMT(Assumptions!B2/12,Assumptions!B4*12,L8)</f>
        <v/>
      </c>
      <c r="N8" s="3">
        <f>D8*Assumptions!B5/12</f>
        <v/>
      </c>
      <c r="O8" s="3">
        <f>Assumptions!B6</f>
        <v/>
      </c>
      <c r="P8" s="3">
        <f>Assumptions!B7+Assumptions!B8</f>
        <v/>
      </c>
      <c r="Q8" s="3">
        <f>M8+E8+N8+O8+P8</f>
        <v/>
      </c>
      <c r="R8" s="3" t="n">
        <v>0</v>
      </c>
      <c r="S8" s="3">
        <f>Q8-R8</f>
        <v/>
      </c>
      <c r="T8" t="n">
        <v>5</v>
      </c>
      <c r="U8" t="n">
        <v>12.2</v>
      </c>
      <c r="V8" t="n">
        <v>12.4</v>
      </c>
      <c r="W8" s="7" t="n">
        <v>2.35</v>
      </c>
      <c r="X8" t="inlineStr">
        <is>
          <t>Green</t>
        </is>
      </c>
    </row>
    <row r="9">
      <c r="A9" s="5" t="inlineStr">
        <is>
          <t>18 Allerton St, Quincy, MA 02169</t>
        </is>
      </c>
      <c r="B9" t="inlineStr">
        <is>
          <t>Quincy</t>
        </is>
      </c>
      <c r="C9" s="6" t="inlineStr">
        <is>
          <t>https://www.redfin.com/MA/Quincy/18-Allerton-St-02169/home/110011603</t>
        </is>
      </c>
      <c r="D9" s="3" t="n">
        <v>200000</v>
      </c>
      <c r="E9" s="3" t="n">
        <v>0</v>
      </c>
      <c r="H9" s="4" t="n"/>
      <c r="I9" t="inlineStr">
        <is>
          <t>No</t>
        </is>
      </c>
      <c r="J9" t="inlineStr">
        <is>
          <t>Unknown</t>
        </is>
      </c>
      <c r="K9" s="3">
        <f>Assumptions!B3</f>
        <v/>
      </c>
      <c r="L9" s="3">
        <f>D9-K9</f>
        <v/>
      </c>
      <c r="M9" s="3">
        <f>-PMT(Assumptions!B2/12,Assumptions!B4*12,L9)</f>
        <v/>
      </c>
      <c r="N9" s="3">
        <f>D9*Assumptions!B5/12</f>
        <v/>
      </c>
      <c r="O9" s="3">
        <f>Assumptions!B6</f>
        <v/>
      </c>
      <c r="P9" s="3">
        <f>Assumptions!B7+Assumptions!B8</f>
        <v/>
      </c>
      <c r="Q9" s="3">
        <f>M9+E9+N9+O9+P9</f>
        <v/>
      </c>
      <c r="R9" s="3" t="n">
        <v>0</v>
      </c>
      <c r="S9" s="3">
        <f>Q9-R9</f>
        <v/>
      </c>
      <c r="T9" t="n">
        <v>8.4</v>
      </c>
      <c r="U9" t="n">
        <v>23.3</v>
      </c>
      <c r="V9" t="n">
        <v>27.4</v>
      </c>
      <c r="W9" s="7" t="n">
        <v>2.3</v>
      </c>
      <c r="X9" t="inlineStr">
        <is>
          <t>Green</t>
        </is>
      </c>
    </row>
    <row r="10">
      <c r="A10" s="5" t="inlineStr">
        <is>
          <t>461 Washington St #301, Brighton, MA 02135</t>
        </is>
      </c>
      <c r="B10" t="inlineStr">
        <is>
          <t>Brighton</t>
        </is>
      </c>
      <c r="C10" s="6" t="inlineStr">
        <is>
          <t>https://www.redfin.com/MA/Brighton/461-Washington-St-02135/unit-301/home/11503967</t>
        </is>
      </c>
      <c r="D10" s="3" t="n">
        <v>419900</v>
      </c>
      <c r="E10" s="3" t="n">
        <v>431</v>
      </c>
      <c r="F10" t="n">
        <v>2</v>
      </c>
      <c r="G10" t="n">
        <v>1</v>
      </c>
      <c r="H10" s="4" t="n">
        <v>696</v>
      </c>
      <c r="I10" t="inlineStr">
        <is>
          <t>No</t>
        </is>
      </c>
      <c r="J10" t="inlineStr">
        <is>
          <t>0 spaces</t>
        </is>
      </c>
      <c r="K10" s="3">
        <f>Assumptions!B3</f>
        <v/>
      </c>
      <c r="L10" s="3">
        <f>D10-K10</f>
        <v/>
      </c>
      <c r="M10" s="3">
        <f>-PMT(Assumptions!B2/12,Assumptions!B4*12,L10)</f>
        <v/>
      </c>
      <c r="N10" s="3">
        <f>D10*Assumptions!B5/12</f>
        <v/>
      </c>
      <c r="O10" s="3">
        <f>Assumptions!B6</f>
        <v/>
      </c>
      <c r="P10" s="3">
        <f>Assumptions!B7+Assumptions!B8</f>
        <v/>
      </c>
      <c r="Q10" s="3">
        <f>M10+E10+N10+O10+P10</f>
        <v/>
      </c>
      <c r="R10" s="3" t="n">
        <v>1300</v>
      </c>
      <c r="S10" s="3">
        <f>Q10-R10</f>
        <v/>
      </c>
      <c r="T10" t="n">
        <v>2.9</v>
      </c>
      <c r="U10" t="n">
        <v>14.6</v>
      </c>
      <c r="V10" t="n">
        <v>14.2</v>
      </c>
      <c r="W10" s="7" t="n">
        <v>2.3</v>
      </c>
      <c r="X10" t="inlineStr">
        <is>
          <t>Green</t>
        </is>
      </c>
    </row>
    <row r="11">
      <c r="A11" s="5" t="inlineStr">
        <is>
          <t>10 Scottfield Rd #2, Allston, MA 02134</t>
        </is>
      </c>
      <c r="B11" t="inlineStr">
        <is>
          <t>Allston</t>
        </is>
      </c>
      <c r="C11" s="6" t="inlineStr">
        <is>
          <t>https://www.redfin.com/MA/Allston/10-Scottfield-Rd-02134/unit-2/home/9000250</t>
        </is>
      </c>
      <c r="D11" s="3" t="n">
        <v>474900</v>
      </c>
      <c r="E11" s="3" t="n">
        <v>408</v>
      </c>
      <c r="F11" t="n">
        <v>2</v>
      </c>
      <c r="G11" t="n">
        <v>1</v>
      </c>
      <c r="H11" s="4" t="n">
        <v>746</v>
      </c>
      <c r="I11" t="inlineStr">
        <is>
          <t>No</t>
        </is>
      </c>
      <c r="J11" t="inlineStr">
        <is>
          <t>0 spaces</t>
        </is>
      </c>
      <c r="K11" s="3">
        <f>Assumptions!B3</f>
        <v/>
      </c>
      <c r="L11" s="3">
        <f>D11-K11</f>
        <v/>
      </c>
      <c r="M11" s="3">
        <f>-PMT(Assumptions!B2/12,Assumptions!B4*12,L11)</f>
        <v/>
      </c>
      <c r="N11" s="3">
        <f>D11*Assumptions!B5/12</f>
        <v/>
      </c>
      <c r="O11" s="3">
        <f>Assumptions!B6</f>
        <v/>
      </c>
      <c r="P11" s="3">
        <f>Assumptions!B7+Assumptions!B8</f>
        <v/>
      </c>
      <c r="Q11" s="3">
        <f>M11+E11+N11+O11+P11</f>
        <v/>
      </c>
      <c r="R11" s="3" t="n">
        <v>1235</v>
      </c>
      <c r="S11" s="3">
        <f>Q11-R11</f>
        <v/>
      </c>
      <c r="T11" t="n">
        <v>2</v>
      </c>
      <c r="U11" t="n">
        <v>12.2</v>
      </c>
      <c r="V11" t="n">
        <v>11.8</v>
      </c>
      <c r="W11" s="7" t="n">
        <v>2.3</v>
      </c>
      <c r="X11" t="inlineStr">
        <is>
          <t>Green</t>
        </is>
      </c>
    </row>
    <row r="12">
      <c r="A12" s="5" t="inlineStr">
        <is>
          <t>8 Avon St #10, Somerville, MA 02143</t>
        </is>
      </c>
      <c r="B12" t="inlineStr">
        <is>
          <t>Somerville</t>
        </is>
      </c>
      <c r="C12" s="6" t="inlineStr">
        <is>
          <t>https://www.redfin.com/MA/Somerville/8-Avon-St-02143/unit-10/home/8759429</t>
        </is>
      </c>
      <c r="D12" s="3" t="n">
        <v>500000</v>
      </c>
      <c r="E12" s="3" t="n">
        <v>288</v>
      </c>
      <c r="F12" t="n">
        <v>2</v>
      </c>
      <c r="G12" t="n">
        <v>1</v>
      </c>
      <c r="H12" s="4" t="n">
        <v>645</v>
      </c>
      <c r="I12" t="inlineStr">
        <is>
          <t>No</t>
        </is>
      </c>
      <c r="J12" t="inlineStr">
        <is>
          <t>1 space</t>
        </is>
      </c>
      <c r="K12" s="3">
        <f>Assumptions!B3</f>
        <v/>
      </c>
      <c r="L12" s="3">
        <f>D12-K12</f>
        <v/>
      </c>
      <c r="M12" s="3">
        <f>-PMT(Assumptions!B2/12,Assumptions!B4*12,L12)</f>
        <v/>
      </c>
      <c r="N12" s="3">
        <f>D12*Assumptions!B5/12</f>
        <v/>
      </c>
      <c r="O12" s="3">
        <f>Assumptions!B6</f>
        <v/>
      </c>
      <c r="P12" s="3">
        <f>Assumptions!B7+Assumptions!B8</f>
        <v/>
      </c>
      <c r="Q12" s="3">
        <f>M12+E12+N12+O12+P12</f>
        <v/>
      </c>
      <c r="R12" s="3" t="n">
        <v>1495</v>
      </c>
      <c r="S12" s="3">
        <f>Q12-R12</f>
        <v/>
      </c>
      <c r="T12" t="n">
        <v>3.4</v>
      </c>
      <c r="U12" t="n">
        <v>11.9</v>
      </c>
      <c r="V12" t="n">
        <v>7.6</v>
      </c>
      <c r="W12" s="7" t="n">
        <v>2.3</v>
      </c>
      <c r="X12" t="inlineStr">
        <is>
          <t>Green</t>
        </is>
      </c>
    </row>
    <row r="13">
      <c r="A13" s="8" t="inlineStr">
        <is>
          <t>199 Prospect St Unit A1, Cambridge, MA 02139</t>
        </is>
      </c>
      <c r="B13" t="inlineStr">
        <is>
          <t>Cambridge</t>
        </is>
      </c>
      <c r="C13" s="6" t="inlineStr">
        <is>
          <t>https://www.redfin.com/MA/Cambridge/199-Prospect-St-02139/unit-A1/home/110093910</t>
        </is>
      </c>
      <c r="D13" s="3" t="n">
        <v>399999</v>
      </c>
      <c r="E13" s="3" t="n">
        <v>183</v>
      </c>
      <c r="F13" t="n">
        <v>0</v>
      </c>
      <c r="G13" t="n">
        <v>1</v>
      </c>
      <c r="H13" s="4" t="n">
        <v>389</v>
      </c>
      <c r="I13" t="inlineStr">
        <is>
          <t>No</t>
        </is>
      </c>
      <c r="J13" t="inlineStr">
        <is>
          <t>0 spaces</t>
        </is>
      </c>
      <c r="K13" s="3">
        <f>Assumptions!B3</f>
        <v/>
      </c>
      <c r="L13" s="3">
        <f>D13-K13</f>
        <v/>
      </c>
      <c r="M13" s="3">
        <f>-PMT(Assumptions!B2/12,Assumptions!B4*12,L13)</f>
        <v/>
      </c>
      <c r="N13" s="3">
        <f>D13*Assumptions!B5/12</f>
        <v/>
      </c>
      <c r="O13" s="3">
        <f>Assumptions!B6</f>
        <v/>
      </c>
      <c r="P13" s="3">
        <f>Assumptions!B7+Assumptions!B8</f>
        <v/>
      </c>
      <c r="Q13" s="3">
        <f>M13+E13+N13+O13+P13</f>
        <v/>
      </c>
      <c r="R13" s="3" t="n">
        <v>0</v>
      </c>
      <c r="S13" s="3">
        <f>Q13-R13</f>
        <v/>
      </c>
      <c r="T13" t="n">
        <v>2.4</v>
      </c>
      <c r="U13" t="n">
        <v>11.2</v>
      </c>
      <c r="V13" t="n">
        <v>4.1</v>
      </c>
      <c r="W13" s="7" t="n">
        <v>2.3</v>
      </c>
      <c r="X13" t="inlineStr">
        <is>
          <t>Yellow</t>
        </is>
      </c>
    </row>
    <row r="14">
      <c r="A14" s="8" t="inlineStr">
        <is>
          <t>40 Cross St #1, Quincy, MA 02169</t>
        </is>
      </c>
      <c r="B14" t="inlineStr">
        <is>
          <t>Quincy</t>
        </is>
      </c>
      <c r="C14" s="6" t="inlineStr">
        <is>
          <t>https://www.redfin.com/MA/Quincy/40-Cross-St-02169/unit-1/home/8963459</t>
        </is>
      </c>
      <c r="D14" s="3" t="n">
        <v>379900</v>
      </c>
      <c r="E14" s="3" t="n">
        <v>360</v>
      </c>
      <c r="F14" t="n">
        <v>2</v>
      </c>
      <c r="G14" t="n">
        <v>1</v>
      </c>
      <c r="H14" s="4" t="n">
        <v>1244</v>
      </c>
      <c r="I14" t="inlineStr">
        <is>
          <t>No</t>
        </is>
      </c>
      <c r="J14" t="inlineStr">
        <is>
          <t>1 space</t>
        </is>
      </c>
      <c r="K14" s="3">
        <f>Assumptions!B3</f>
        <v/>
      </c>
      <c r="L14" s="3">
        <f>D14-K14</f>
        <v/>
      </c>
      <c r="M14" s="3">
        <f>-PMT(Assumptions!B2/12,Assumptions!B4*12,L14)</f>
        <v/>
      </c>
      <c r="N14" s="3">
        <f>D14*Assumptions!B5/12</f>
        <v/>
      </c>
      <c r="O14" s="3">
        <f>Assumptions!B6</f>
        <v/>
      </c>
      <c r="P14" s="3">
        <f>Assumptions!B7+Assumptions!B8</f>
        <v/>
      </c>
      <c r="Q14" s="3">
        <f>M14+E14+N14+O14+P14</f>
        <v/>
      </c>
      <c r="R14" s="3" t="n">
        <v>1170</v>
      </c>
      <c r="S14" s="3">
        <f>Q14-R14</f>
        <v/>
      </c>
      <c r="T14" t="n">
        <v>5.7</v>
      </c>
      <c r="U14" t="n">
        <v>15.7</v>
      </c>
      <c r="V14" t="n">
        <v>19.7</v>
      </c>
      <c r="W14" s="7" t="n">
        <v>2.25</v>
      </c>
      <c r="X14" t="inlineStr">
        <is>
          <t>Yellow</t>
        </is>
      </c>
    </row>
    <row r="15">
      <c r="A15" s="8" t="inlineStr">
        <is>
          <t>186 Lexington St #8, Watertown, MA 02472</t>
        </is>
      </c>
      <c r="B15" t="inlineStr">
        <is>
          <t>Watertown</t>
        </is>
      </c>
      <c r="C15" s="6" t="inlineStr">
        <is>
          <t>https://www.redfin.com/MA/Watertown/186-Lexington-St-02472/unit-8/home/11690422</t>
        </is>
      </c>
      <c r="D15" s="3" t="n">
        <v>394900</v>
      </c>
      <c r="E15" s="3" t="n">
        <v>350</v>
      </c>
      <c r="F15" t="n">
        <v>2</v>
      </c>
      <c r="G15" t="n">
        <v>1</v>
      </c>
      <c r="H15" s="4" t="n">
        <v>600</v>
      </c>
      <c r="I15" t="inlineStr">
        <is>
          <t>No</t>
        </is>
      </c>
      <c r="J15" t="inlineStr">
        <is>
          <t>1 space</t>
        </is>
      </c>
      <c r="K15" s="3">
        <f>Assumptions!B3</f>
        <v/>
      </c>
      <c r="L15" s="3">
        <f>D15-K15</f>
        <v/>
      </c>
      <c r="M15" s="3">
        <f>-PMT(Assumptions!B2/12,Assumptions!B4*12,L15)</f>
        <v/>
      </c>
      <c r="N15" s="3">
        <f>D15*Assumptions!B5/12</f>
        <v/>
      </c>
      <c r="O15" s="3">
        <f>Assumptions!B6</f>
        <v/>
      </c>
      <c r="P15" s="3">
        <f>Assumptions!B7+Assumptions!B8</f>
        <v/>
      </c>
      <c r="Q15" s="3">
        <f>M15+E15+N15+O15+P15</f>
        <v/>
      </c>
      <c r="R15" s="3" t="n">
        <v>1365</v>
      </c>
      <c r="S15" s="3">
        <f>Q15-R15</f>
        <v/>
      </c>
      <c r="T15" t="n">
        <v>12.1</v>
      </c>
      <c r="U15" t="n">
        <v>18.5</v>
      </c>
      <c r="V15" t="n">
        <v>17.2</v>
      </c>
      <c r="W15" s="7" t="n">
        <v>2.25</v>
      </c>
      <c r="X15" t="inlineStr">
        <is>
          <t>Yellow</t>
        </is>
      </c>
    </row>
    <row r="16">
      <c r="A16" s="8" t="inlineStr">
        <is>
          <t>194 Lexington St #1, Watertown, MA 02472</t>
        </is>
      </c>
      <c r="B16" t="inlineStr">
        <is>
          <t>Watertown</t>
        </is>
      </c>
      <c r="C16" s="6" t="inlineStr">
        <is>
          <t>https://www.redfin.com/MA/Watertown/194-Lexington-St-02472/unit-1/home/11690433</t>
        </is>
      </c>
      <c r="D16" s="3" t="n">
        <v>375000</v>
      </c>
      <c r="E16" s="3" t="n">
        <v>350</v>
      </c>
      <c r="F16" t="n">
        <v>2</v>
      </c>
      <c r="G16" t="n">
        <v>1</v>
      </c>
      <c r="H16" s="4" t="n">
        <v>600</v>
      </c>
      <c r="I16" t="inlineStr">
        <is>
          <t>No</t>
        </is>
      </c>
      <c r="J16" t="inlineStr">
        <is>
          <t>1 space</t>
        </is>
      </c>
      <c r="K16" s="3">
        <f>Assumptions!B3</f>
        <v/>
      </c>
      <c r="L16" s="3">
        <f>D16-K16</f>
        <v/>
      </c>
      <c r="M16" s="3">
        <f>-PMT(Assumptions!B2/12,Assumptions!B4*12,L16)</f>
        <v/>
      </c>
      <c r="N16" s="3">
        <f>D16*Assumptions!B5/12</f>
        <v/>
      </c>
      <c r="O16" s="3">
        <f>Assumptions!B6</f>
        <v/>
      </c>
      <c r="P16" s="3">
        <f>Assumptions!B7+Assumptions!B8</f>
        <v/>
      </c>
      <c r="Q16" s="3">
        <f>M16+E16+N16+O16+P16</f>
        <v/>
      </c>
      <c r="R16" s="3" t="n">
        <v>1365</v>
      </c>
      <c r="S16" s="3">
        <f>Q16-R16</f>
        <v/>
      </c>
      <c r="T16" t="n">
        <v>12.4</v>
      </c>
      <c r="U16" t="n">
        <v>18.9</v>
      </c>
      <c r="V16" t="n">
        <v>17</v>
      </c>
      <c r="W16" s="7" t="n">
        <v>2.25</v>
      </c>
      <c r="X16" t="inlineStr">
        <is>
          <t>Yellow</t>
        </is>
      </c>
    </row>
    <row r="17">
      <c r="A17" s="8" t="inlineStr">
        <is>
          <t>133 Warren St #3, Watertown, MA 02472</t>
        </is>
      </c>
      <c r="B17" t="inlineStr">
        <is>
          <t>Watertown</t>
        </is>
      </c>
      <c r="C17" s="6" t="inlineStr">
        <is>
          <t>https://www.redfin.com/MA/Watertown/133-Warren-St-02472/unit-3/home/11690534</t>
        </is>
      </c>
      <c r="D17" s="3" t="n">
        <v>375000</v>
      </c>
      <c r="E17" s="3" t="n">
        <v>350</v>
      </c>
      <c r="F17" t="n">
        <v>2</v>
      </c>
      <c r="G17" t="n">
        <v>1</v>
      </c>
      <c r="H17" s="4" t="n">
        <v>600</v>
      </c>
      <c r="I17" t="inlineStr">
        <is>
          <t>No</t>
        </is>
      </c>
      <c r="J17" t="inlineStr">
        <is>
          <t>2 spaces</t>
        </is>
      </c>
      <c r="K17" s="3">
        <f>Assumptions!B3</f>
        <v/>
      </c>
      <c r="L17" s="3">
        <f>D17-K17</f>
        <v/>
      </c>
      <c r="M17" s="3">
        <f>-PMT(Assumptions!B2/12,Assumptions!B4*12,L17)</f>
        <v/>
      </c>
      <c r="N17" s="3">
        <f>D17*Assumptions!B5/12</f>
        <v/>
      </c>
      <c r="O17" s="3">
        <f>Assumptions!B6</f>
        <v/>
      </c>
      <c r="P17" s="3">
        <f>Assumptions!B7+Assumptions!B8</f>
        <v/>
      </c>
      <c r="Q17" s="3">
        <f>M17+E17+N17+O17+P17</f>
        <v/>
      </c>
      <c r="R17" s="3" t="n">
        <v>1365</v>
      </c>
      <c r="S17" s="3">
        <f>Q17-R17</f>
        <v/>
      </c>
      <c r="T17" t="n">
        <v>12.3</v>
      </c>
      <c r="U17" t="n">
        <v>18.7</v>
      </c>
      <c r="V17" t="n">
        <v>17.3</v>
      </c>
      <c r="W17" s="7" t="n">
        <v>2.25</v>
      </c>
      <c r="X17" t="inlineStr">
        <is>
          <t>Yellow</t>
        </is>
      </c>
    </row>
    <row r="18">
      <c r="A18" s="8" t="inlineStr">
        <is>
          <t>38 Carey Ave #3, Watertown, MA 02472</t>
        </is>
      </c>
      <c r="B18" t="inlineStr">
        <is>
          <t>Watertown</t>
        </is>
      </c>
      <c r="C18" s="6" t="inlineStr">
        <is>
          <t>https://www.redfin.com/MA/Watertown/38-Carey-Ave-02472/unit-3/home/11690323</t>
        </is>
      </c>
      <c r="D18" s="3" t="n">
        <v>374899</v>
      </c>
      <c r="E18" s="3" t="n">
        <v>350</v>
      </c>
      <c r="F18" t="n">
        <v>2</v>
      </c>
      <c r="G18" t="n">
        <v>1</v>
      </c>
      <c r="H18" s="4" t="n">
        <v>600</v>
      </c>
      <c r="I18" t="inlineStr">
        <is>
          <t>No</t>
        </is>
      </c>
      <c r="J18" t="inlineStr">
        <is>
          <t>1 space</t>
        </is>
      </c>
      <c r="K18" s="3">
        <f>Assumptions!B3</f>
        <v/>
      </c>
      <c r="L18" s="3">
        <f>D18-K18</f>
        <v/>
      </c>
      <c r="M18" s="3">
        <f>-PMT(Assumptions!B2/12,Assumptions!B4*12,L18)</f>
        <v/>
      </c>
      <c r="N18" s="3">
        <f>D18*Assumptions!B5/12</f>
        <v/>
      </c>
      <c r="O18" s="3">
        <f>Assumptions!B6</f>
        <v/>
      </c>
      <c r="P18" s="3">
        <f>Assumptions!B7+Assumptions!B8</f>
        <v/>
      </c>
      <c r="Q18" s="3">
        <f>M18+E18+N18+O18+P18</f>
        <v/>
      </c>
      <c r="R18" s="3" t="n">
        <v>1365</v>
      </c>
      <c r="S18" s="3">
        <f>Q18-R18</f>
        <v/>
      </c>
      <c r="T18" t="n">
        <v>12.6</v>
      </c>
      <c r="U18" t="n">
        <v>19.1</v>
      </c>
      <c r="V18" t="n">
        <v>17.2</v>
      </c>
      <c r="W18" s="7" t="n">
        <v>2.25</v>
      </c>
      <c r="X18" t="inlineStr">
        <is>
          <t>Yellow</t>
        </is>
      </c>
    </row>
    <row r="19">
      <c r="A19" s="8" t="inlineStr">
        <is>
          <t>1564 Commonwealth Ave #3, Brighton, MA 02135</t>
        </is>
      </c>
      <c r="B19" t="inlineStr">
        <is>
          <t>Brighton</t>
        </is>
      </c>
      <c r="C19" s="6" t="inlineStr">
        <is>
          <t>https://www.redfin.com/MA/Brighton/1564-Commonwealth-Ave-02135/unit-3/home/9017145</t>
        </is>
      </c>
      <c r="D19" s="3" t="n">
        <v>315000</v>
      </c>
      <c r="E19" s="3" t="n">
        <v>369</v>
      </c>
      <c r="F19" t="n">
        <v>0</v>
      </c>
      <c r="G19" t="n">
        <v>1</v>
      </c>
      <c r="H19" s="4" t="n">
        <v>306</v>
      </c>
      <c r="I19" t="inlineStr">
        <is>
          <t>No</t>
        </is>
      </c>
      <c r="J19" t="inlineStr">
        <is>
          <t>0 spaces</t>
        </is>
      </c>
      <c r="K19" s="3">
        <f>Assumptions!B3</f>
        <v/>
      </c>
      <c r="L19" s="3">
        <f>D19-K19</f>
        <v/>
      </c>
      <c r="M19" s="3">
        <f>-PMT(Assumptions!B2/12,Assumptions!B4*12,L19)</f>
        <v/>
      </c>
      <c r="N19" s="3">
        <f>D19*Assumptions!B5/12</f>
        <v/>
      </c>
      <c r="O19" s="3">
        <f>Assumptions!B6</f>
        <v/>
      </c>
      <c r="P19" s="3">
        <f>Assumptions!B7+Assumptions!B8</f>
        <v/>
      </c>
      <c r="Q19" s="3">
        <f>M19+E19+N19+O19+P19</f>
        <v/>
      </c>
      <c r="R19" s="3" t="n">
        <v>0</v>
      </c>
      <c r="S19" s="3">
        <f>Q19-R19</f>
        <v/>
      </c>
      <c r="T19" t="n">
        <v>2</v>
      </c>
      <c r="U19" t="n">
        <v>13.5</v>
      </c>
      <c r="V19" t="n">
        <v>13.1</v>
      </c>
      <c r="W19" s="7" t="n">
        <v>2.2</v>
      </c>
      <c r="X19" t="inlineStr">
        <is>
          <t>Yellow</t>
        </is>
      </c>
    </row>
    <row r="20">
      <c r="A20" s="8" t="inlineStr">
        <is>
          <t>45 Gordon St #4, Allston, MA 02134</t>
        </is>
      </c>
      <c r="B20" t="inlineStr">
        <is>
          <t>Allston</t>
        </is>
      </c>
      <c r="C20" s="6" t="inlineStr">
        <is>
          <t>https://www.redfin.com/MA/Allston/45-Gordon-St-02134/unit-4/home/8999903</t>
        </is>
      </c>
      <c r="D20" s="3" t="n">
        <v>489000</v>
      </c>
      <c r="E20" s="3" t="n">
        <v>350</v>
      </c>
      <c r="F20" t="n">
        <v>2</v>
      </c>
      <c r="G20" t="n">
        <v>1</v>
      </c>
      <c r="H20" s="4" t="n">
        <v>675</v>
      </c>
      <c r="I20" t="inlineStr">
        <is>
          <t>No</t>
        </is>
      </c>
      <c r="J20" t="inlineStr">
        <is>
          <t>0 spaces</t>
        </is>
      </c>
      <c r="K20" s="3">
        <f>Assumptions!B3</f>
        <v/>
      </c>
      <c r="L20" s="3">
        <f>D20-K20</f>
        <v/>
      </c>
      <c r="M20" s="3">
        <f>-PMT(Assumptions!B2/12,Assumptions!B4*12,L20)</f>
        <v/>
      </c>
      <c r="N20" s="3">
        <f>D20*Assumptions!B5/12</f>
        <v/>
      </c>
      <c r="O20" s="3">
        <f>Assumptions!B6</f>
        <v/>
      </c>
      <c r="P20" s="3">
        <f>Assumptions!B7+Assumptions!B8</f>
        <v/>
      </c>
      <c r="Q20" s="3">
        <f>M20+E20+N20+O20+P20</f>
        <v/>
      </c>
      <c r="R20" s="3" t="n">
        <v>1235</v>
      </c>
      <c r="S20" s="3">
        <f>Q20-R20</f>
        <v/>
      </c>
      <c r="T20" t="n">
        <v>3</v>
      </c>
      <c r="U20" t="n">
        <v>11.3</v>
      </c>
      <c r="V20" t="n">
        <v>10.9</v>
      </c>
      <c r="W20" s="7" t="n">
        <v>2.2</v>
      </c>
      <c r="X20" t="inlineStr">
        <is>
          <t>Yellow</t>
        </is>
      </c>
    </row>
    <row r="21">
      <c r="A21" s="8" t="inlineStr">
        <is>
          <t>69 Park Dr #10, Boston, MA 02215</t>
        </is>
      </c>
      <c r="B21" t="inlineStr">
        <is>
          <t>Brookline</t>
        </is>
      </c>
      <c r="C21" s="6" t="inlineStr">
        <is>
          <t>https://www.redfin.com/MA/Boston/69-Park-Dr-02215/unit-10/home/9274080</t>
        </is>
      </c>
      <c r="D21" s="3" t="n">
        <v>360000</v>
      </c>
      <c r="E21" s="3" t="n">
        <v>381</v>
      </c>
      <c r="F21" t="n">
        <v>0</v>
      </c>
      <c r="G21" t="n">
        <v>1</v>
      </c>
      <c r="H21" s="4" t="n">
        <v>320</v>
      </c>
      <c r="I21" t="inlineStr">
        <is>
          <t>No</t>
        </is>
      </c>
      <c r="J21" t="inlineStr">
        <is>
          <t>0 spaces</t>
        </is>
      </c>
      <c r="K21" s="3">
        <f>Assumptions!B3</f>
        <v/>
      </c>
      <c r="L21" s="3">
        <f>D21-K21</f>
        <v/>
      </c>
      <c r="M21" s="3">
        <f>-PMT(Assumptions!B2/12,Assumptions!B4*12,L21)</f>
        <v/>
      </c>
      <c r="N21" s="3">
        <f>D21*Assumptions!B5/12</f>
        <v/>
      </c>
      <c r="O21" s="3">
        <f>Assumptions!B6</f>
        <v/>
      </c>
      <c r="P21" s="3">
        <f>Assumptions!B7+Assumptions!B8</f>
        <v/>
      </c>
      <c r="Q21" s="3">
        <f>M21+E21+N21+O21+P21</f>
        <v/>
      </c>
      <c r="R21" s="3" t="n">
        <v>0</v>
      </c>
      <c r="S21" s="3">
        <f>Q21-R21</f>
        <v/>
      </c>
      <c r="T21" t="n">
        <v>1.7</v>
      </c>
      <c r="U21" t="n">
        <v>11.2</v>
      </c>
      <c r="V21" t="n">
        <v>9</v>
      </c>
      <c r="W21" s="7" t="n">
        <v>2.2</v>
      </c>
      <c r="X21" t="inlineStr">
        <is>
          <t>Yellow</t>
        </is>
      </c>
    </row>
    <row r="22">
      <c r="A22" s="8" t="inlineStr">
        <is>
          <t>195 Thomas Burgin Pkwy #301, Quincy, MA 02169</t>
        </is>
      </c>
      <c r="B22" t="inlineStr">
        <is>
          <t>Quincy</t>
        </is>
      </c>
      <c r="C22" s="6" t="inlineStr">
        <is>
          <t>https://www.redfin.com/MA/Quincy/195-Thomas-Burgin-Pkwy-02169/unit-301/home/8931809</t>
        </is>
      </c>
      <c r="D22" s="3" t="n">
        <v>250000</v>
      </c>
      <c r="E22" s="3" t="n">
        <v>393</v>
      </c>
      <c r="F22" t="n">
        <v>1</v>
      </c>
      <c r="G22" t="n">
        <v>1</v>
      </c>
      <c r="H22" s="4" t="n">
        <v>447</v>
      </c>
      <c r="I22" t="inlineStr">
        <is>
          <t>No</t>
        </is>
      </c>
      <c r="J22" t="inlineStr">
        <is>
          <t>0 spaces</t>
        </is>
      </c>
      <c r="K22" s="3">
        <f>Assumptions!B3</f>
        <v/>
      </c>
      <c r="L22" s="3">
        <f>D22-K22</f>
        <v/>
      </c>
      <c r="M22" s="3">
        <f>-PMT(Assumptions!B2/12,Assumptions!B4*12,L22)</f>
        <v/>
      </c>
      <c r="N22" s="3">
        <f>D22*Assumptions!B5/12</f>
        <v/>
      </c>
      <c r="O22" s="3">
        <f>Assumptions!B6</f>
        <v/>
      </c>
      <c r="P22" s="3">
        <f>Assumptions!B7+Assumptions!B8</f>
        <v/>
      </c>
      <c r="Q22" s="3">
        <f>M22+E22+N22+O22+P22</f>
        <v/>
      </c>
      <c r="R22" s="3" t="n">
        <v>0</v>
      </c>
      <c r="S22" s="3">
        <f>Q22-R22</f>
        <v/>
      </c>
      <c r="T22" t="n">
        <v>2.2</v>
      </c>
      <c r="U22" t="n">
        <v>17.6</v>
      </c>
      <c r="V22" t="n">
        <v>21.7</v>
      </c>
      <c r="W22" s="7" t="n">
        <v>2.15</v>
      </c>
      <c r="X22" t="inlineStr">
        <is>
          <t>Yellow</t>
        </is>
      </c>
    </row>
    <row r="23">
      <c r="A23" s="8" t="inlineStr">
        <is>
          <t>195 Thomas Burgin Pkwy #212, Quincy, MA 02169</t>
        </is>
      </c>
      <c r="B23" t="inlineStr">
        <is>
          <t>Quincy</t>
        </is>
      </c>
      <c r="C23" s="6" t="inlineStr">
        <is>
          <t>https://www.redfin.com/MA/Quincy/195-Thomas-Burgin-Pkwy-02169/unit-212/home/8931803</t>
        </is>
      </c>
      <c r="D23" s="3" t="n">
        <v>249900</v>
      </c>
      <c r="E23" s="3" t="n">
        <v>344</v>
      </c>
      <c r="F23" t="n">
        <v>0</v>
      </c>
      <c r="G23" t="n">
        <v>1</v>
      </c>
      <c r="H23" s="4" t="n">
        <v>355</v>
      </c>
      <c r="I23" t="inlineStr">
        <is>
          <t>No</t>
        </is>
      </c>
      <c r="J23" t="inlineStr">
        <is>
          <t>0 spaces</t>
        </is>
      </c>
      <c r="K23" s="3">
        <f>Assumptions!B3</f>
        <v/>
      </c>
      <c r="L23" s="3">
        <f>D23-K23</f>
        <v/>
      </c>
      <c r="M23" s="3">
        <f>-PMT(Assumptions!B2/12,Assumptions!B4*12,L23)</f>
        <v/>
      </c>
      <c r="N23" s="3">
        <f>D23*Assumptions!B5/12</f>
        <v/>
      </c>
      <c r="O23" s="3">
        <f>Assumptions!B6</f>
        <v/>
      </c>
      <c r="P23" s="3">
        <f>Assumptions!B7+Assumptions!B8</f>
        <v/>
      </c>
      <c r="Q23" s="3">
        <f>M23+E23+N23+O23+P23</f>
        <v/>
      </c>
      <c r="R23" s="3" t="n">
        <v>0</v>
      </c>
      <c r="S23" s="3">
        <f>Q23-R23</f>
        <v/>
      </c>
      <c r="T23" t="n">
        <v>2.2</v>
      </c>
      <c r="U23" t="n">
        <v>17.6</v>
      </c>
      <c r="V23" t="n">
        <v>21.7</v>
      </c>
      <c r="W23" s="7" t="n">
        <v>2.15</v>
      </c>
      <c r="X23" t="inlineStr">
        <is>
          <t>Yellow</t>
        </is>
      </c>
    </row>
    <row r="24">
      <c r="A24" s="8" t="inlineStr">
        <is>
          <t>1025 Hancock St Unit 2K, Quincy, MA 02169</t>
        </is>
      </c>
      <c r="B24" t="inlineStr">
        <is>
          <t>Quincy</t>
        </is>
      </c>
      <c r="C24" s="6" t="inlineStr">
        <is>
          <t>https://www.redfin.com/MA/Quincy/1025-Hancock-St-02169/unit-2K/home/9032191</t>
        </is>
      </c>
      <c r="D24" s="3" t="n">
        <v>264000</v>
      </c>
      <c r="E24" s="3" t="n">
        <v>270</v>
      </c>
      <c r="F24" t="n">
        <v>0</v>
      </c>
      <c r="G24" t="n">
        <v>1</v>
      </c>
      <c r="H24" s="4" t="n">
        <v>445</v>
      </c>
      <c r="I24" t="inlineStr">
        <is>
          <t>No</t>
        </is>
      </c>
      <c r="J24" t="inlineStr">
        <is>
          <t>2 spaces</t>
        </is>
      </c>
      <c r="K24" s="3">
        <f>Assumptions!B3</f>
        <v/>
      </c>
      <c r="L24" s="3">
        <f>D24-K24</f>
        <v/>
      </c>
      <c r="M24" s="3">
        <f>-PMT(Assumptions!B2/12,Assumptions!B4*12,L24)</f>
        <v/>
      </c>
      <c r="N24" s="3">
        <f>D24*Assumptions!B5/12</f>
        <v/>
      </c>
      <c r="O24" s="3">
        <f>Assumptions!B6</f>
        <v/>
      </c>
      <c r="P24" s="3">
        <f>Assumptions!B7+Assumptions!B8</f>
        <v/>
      </c>
      <c r="Q24" s="3">
        <f>M24+E24+N24+O24+P24</f>
        <v/>
      </c>
      <c r="R24" s="3" t="n">
        <v>0</v>
      </c>
      <c r="S24" s="3">
        <f>Q24-R24</f>
        <v/>
      </c>
      <c r="T24" t="n">
        <v>1.8</v>
      </c>
      <c r="U24" t="n">
        <v>16.7</v>
      </c>
      <c r="V24" t="n">
        <v>20.8</v>
      </c>
      <c r="W24" s="7" t="n">
        <v>2.15</v>
      </c>
      <c r="X24" t="inlineStr">
        <is>
          <t>Yellow</t>
        </is>
      </c>
    </row>
    <row r="25">
      <c r="A25" s="8" t="inlineStr">
        <is>
          <t>10 Naviens Ln #1, Waltham, MA 02453</t>
        </is>
      </c>
      <c r="B25" t="inlineStr">
        <is>
          <t>Waltham</t>
        </is>
      </c>
      <c r="C25" s="6" t="inlineStr">
        <is>
          <t>https://www.redfin.com/MA/Waltham/10-Naviens-Ln-02453/unit-1/home/76478882</t>
        </is>
      </c>
      <c r="D25" s="3" t="n">
        <v>499900</v>
      </c>
      <c r="E25" s="3" t="n">
        <v>134</v>
      </c>
      <c r="F25" t="n">
        <v>2</v>
      </c>
      <c r="G25" t="n">
        <v>1</v>
      </c>
      <c r="H25" s="4" t="n">
        <v>1008</v>
      </c>
      <c r="I25" t="inlineStr">
        <is>
          <t>No</t>
        </is>
      </c>
      <c r="J25" t="inlineStr">
        <is>
          <t>2 spaces</t>
        </is>
      </c>
      <c r="K25" s="3">
        <f>Assumptions!B3</f>
        <v/>
      </c>
      <c r="L25" s="3">
        <f>D25-K25</f>
        <v/>
      </c>
      <c r="M25" s="3">
        <f>-PMT(Assumptions!B2/12,Assumptions!B4*12,L25)</f>
        <v/>
      </c>
      <c r="N25" s="3">
        <f>D25*Assumptions!B5/12</f>
        <v/>
      </c>
      <c r="O25" s="3">
        <f>Assumptions!B6</f>
        <v/>
      </c>
      <c r="P25" s="3">
        <f>Assumptions!B7+Assumptions!B8</f>
        <v/>
      </c>
      <c r="Q25" s="3">
        <f>M25+E25+N25+O25+P25</f>
        <v/>
      </c>
      <c r="R25" s="3" t="n">
        <v>1235</v>
      </c>
      <c r="S25" s="3">
        <f>Q25-R25</f>
        <v/>
      </c>
      <c r="T25" t="n">
        <v>10.9</v>
      </c>
      <c r="U25" t="n">
        <v>19.2</v>
      </c>
      <c r="V25" t="n">
        <v>19.7</v>
      </c>
      <c r="W25" s="7" t="n">
        <v>2.15</v>
      </c>
      <c r="X25" t="inlineStr">
        <is>
          <t>Yellow</t>
        </is>
      </c>
    </row>
    <row r="26">
      <c r="A26" s="8" t="inlineStr">
        <is>
          <t>66 Bryon Rd #2, Chestnut Hill, MA 02467</t>
        </is>
      </c>
      <c r="B26" t="inlineStr">
        <is>
          <t>Newton</t>
        </is>
      </c>
      <c r="C26" s="6" t="inlineStr">
        <is>
          <t>https://www.redfin.com/MA/Chestnut-Hill/66-Bryon-Rd-02467/unit-2/home/9204203</t>
        </is>
      </c>
      <c r="D26" s="3" t="n">
        <v>385000</v>
      </c>
      <c r="E26" s="3" t="n">
        <v>422</v>
      </c>
      <c r="F26" t="n">
        <v>2</v>
      </c>
      <c r="G26" t="n">
        <v>1</v>
      </c>
      <c r="H26" s="4" t="n">
        <v>780</v>
      </c>
      <c r="I26" t="inlineStr">
        <is>
          <t>No</t>
        </is>
      </c>
      <c r="J26" t="inlineStr">
        <is>
          <t>2 spaces</t>
        </is>
      </c>
      <c r="K26" s="3">
        <f>Assumptions!B3</f>
        <v/>
      </c>
      <c r="L26" s="3">
        <f>D26-K26</f>
        <v/>
      </c>
      <c r="M26" s="3">
        <f>-PMT(Assumptions!B2/12,Assumptions!B4*12,L26)</f>
        <v/>
      </c>
      <c r="N26" s="3">
        <f>D26*Assumptions!B5/12</f>
        <v/>
      </c>
      <c r="O26" s="3">
        <f>Assumptions!B6</f>
        <v/>
      </c>
      <c r="P26" s="3">
        <f>Assumptions!B7+Assumptions!B8</f>
        <v/>
      </c>
      <c r="Q26" s="3">
        <f>M26+E26+N26+O26+P26</f>
        <v/>
      </c>
      <c r="R26" s="3" t="n">
        <v>1430</v>
      </c>
      <c r="S26" s="3">
        <f>Q26-R26</f>
        <v/>
      </c>
      <c r="T26" t="n">
        <v>5.9</v>
      </c>
      <c r="U26" t="n">
        <v>22.9</v>
      </c>
      <c r="V26" t="n">
        <v>21.4</v>
      </c>
      <c r="W26" s="7" t="n">
        <v>2.15</v>
      </c>
      <c r="X26" t="inlineStr">
        <is>
          <t>Yellow</t>
        </is>
      </c>
    </row>
    <row r="27">
      <c r="A27" s="8" t="inlineStr">
        <is>
          <t>5 Braemore Rd #10, Brighton, MA 02135</t>
        </is>
      </c>
      <c r="B27" t="inlineStr">
        <is>
          <t>Brighton</t>
        </is>
      </c>
      <c r="C27" s="6" t="inlineStr">
        <is>
          <t>https://www.redfin.com/MA/Brighton/5-Braemore-Rd-02135/unit-10/home/9308549</t>
        </is>
      </c>
      <c r="D27" s="3" t="n">
        <v>315000</v>
      </c>
      <c r="E27" s="3" t="n">
        <v>352</v>
      </c>
      <c r="F27" t="n">
        <v>1</v>
      </c>
      <c r="G27" t="n">
        <v>1</v>
      </c>
      <c r="H27" s="4" t="n">
        <v>385</v>
      </c>
      <c r="I27" t="inlineStr">
        <is>
          <t>No</t>
        </is>
      </c>
      <c r="J27" t="inlineStr">
        <is>
          <t>0 spaces</t>
        </is>
      </c>
      <c r="K27" s="3">
        <f>Assumptions!B3</f>
        <v/>
      </c>
      <c r="L27" s="3">
        <f>D27-K27</f>
        <v/>
      </c>
      <c r="M27" s="3">
        <f>-PMT(Assumptions!B2/12,Assumptions!B4*12,L27)</f>
        <v/>
      </c>
      <c r="N27" s="3">
        <f>D27*Assumptions!B5/12</f>
        <v/>
      </c>
      <c r="O27" s="3">
        <f>Assumptions!B6</f>
        <v/>
      </c>
      <c r="P27" s="3">
        <f>Assumptions!B7+Assumptions!B8</f>
        <v/>
      </c>
      <c r="Q27" s="3">
        <f>M27+E27+N27+O27+P27</f>
        <v/>
      </c>
      <c r="R27" s="3" t="n">
        <v>0</v>
      </c>
      <c r="S27" s="3">
        <f>Q27-R27</f>
        <v/>
      </c>
      <c r="T27" t="n">
        <v>1.7</v>
      </c>
      <c r="U27" t="n">
        <v>15.9</v>
      </c>
      <c r="V27" t="n">
        <v>14.1</v>
      </c>
      <c r="W27" s="7" t="n">
        <v>2.15</v>
      </c>
      <c r="X27" t="inlineStr">
        <is>
          <t>Yellow</t>
        </is>
      </c>
    </row>
    <row r="28">
      <c r="A28" s="8" t="inlineStr">
        <is>
          <t>354 Market St #9, Brighton, MA 02135</t>
        </is>
      </c>
      <c r="B28" t="inlineStr">
        <is>
          <t>Watertown</t>
        </is>
      </c>
      <c r="C28" s="6" t="inlineStr">
        <is>
          <t>https://www.redfin.com/MA/Brighton/354-Market-St-02135/unit-9/home/9025930</t>
        </is>
      </c>
      <c r="D28" s="3" t="n">
        <v>374900</v>
      </c>
      <c r="E28" s="3" t="n">
        <v>310</v>
      </c>
      <c r="F28" t="n">
        <v>1</v>
      </c>
      <c r="G28" t="n">
        <v>1</v>
      </c>
      <c r="H28" s="4" t="n">
        <v>590</v>
      </c>
      <c r="I28" t="inlineStr">
        <is>
          <t>No</t>
        </is>
      </c>
      <c r="J28" t="inlineStr">
        <is>
          <t>1 space</t>
        </is>
      </c>
      <c r="K28" s="3">
        <f>Assumptions!B3</f>
        <v/>
      </c>
      <c r="L28" s="3">
        <f>D28-K28</f>
        <v/>
      </c>
      <c r="M28" s="3">
        <f>-PMT(Assumptions!B2/12,Assumptions!B4*12,L28)</f>
        <v/>
      </c>
      <c r="N28" s="3">
        <f>D28*Assumptions!B5/12</f>
        <v/>
      </c>
      <c r="O28" s="3">
        <f>Assumptions!B6</f>
        <v/>
      </c>
      <c r="P28" s="3">
        <f>Assumptions!B7+Assumptions!B8</f>
        <v/>
      </c>
      <c r="Q28" s="3">
        <f>M28+E28+N28+O28+P28</f>
        <v/>
      </c>
      <c r="R28" s="3" t="n">
        <v>0</v>
      </c>
      <c r="S28" s="3">
        <f>Q28-R28</f>
        <v/>
      </c>
      <c r="T28" t="n">
        <v>2.3</v>
      </c>
      <c r="U28" t="n">
        <v>13.4</v>
      </c>
      <c r="V28" t="n">
        <v>13</v>
      </c>
      <c r="W28" s="7" t="n">
        <v>2.1</v>
      </c>
      <c r="X28" t="inlineStr">
        <is>
          <t>Yellow</t>
        </is>
      </c>
    </row>
    <row r="29">
      <c r="A29" s="8" t="inlineStr">
        <is>
          <t>1641 Commonwealth Ave #16, Brighton, MA 02135</t>
        </is>
      </c>
      <c r="B29" t="inlineStr">
        <is>
          <t>Brighton</t>
        </is>
      </c>
      <c r="C29" s="6" t="inlineStr">
        <is>
          <t>https://www.redfin.com/MA/Brighton/1641-Commonwealth-Ave-02135/unit-16/home/9002891</t>
        </is>
      </c>
      <c r="D29" s="3" t="n">
        <v>349000</v>
      </c>
      <c r="E29" s="3" t="n">
        <v>399</v>
      </c>
      <c r="F29" t="n">
        <v>1</v>
      </c>
      <c r="G29" t="n">
        <v>1</v>
      </c>
      <c r="H29" s="4" t="n">
        <v>407</v>
      </c>
      <c r="I29" t="inlineStr">
        <is>
          <t>No</t>
        </is>
      </c>
      <c r="J29" t="inlineStr">
        <is>
          <t>0 spaces</t>
        </is>
      </c>
      <c r="K29" s="3">
        <f>Assumptions!B3</f>
        <v/>
      </c>
      <c r="L29" s="3">
        <f>D29-K29</f>
        <v/>
      </c>
      <c r="M29" s="3">
        <f>-PMT(Assumptions!B2/12,Assumptions!B4*12,L29)</f>
        <v/>
      </c>
      <c r="N29" s="3">
        <f>D29*Assumptions!B5/12</f>
        <v/>
      </c>
      <c r="O29" s="3">
        <f>Assumptions!B6</f>
        <v/>
      </c>
      <c r="P29" s="3">
        <f>Assumptions!B7+Assumptions!B8</f>
        <v/>
      </c>
      <c r="Q29" s="3">
        <f>M29+E29+N29+O29+P29</f>
        <v/>
      </c>
      <c r="R29" s="3" t="n">
        <v>0</v>
      </c>
      <c r="S29" s="3">
        <f>Q29-R29</f>
        <v/>
      </c>
      <c r="T29" t="n">
        <v>0.4</v>
      </c>
      <c r="U29" t="n">
        <v>15</v>
      </c>
      <c r="V29" t="n">
        <v>14.6</v>
      </c>
      <c r="W29" s="7" t="n">
        <v>2.1</v>
      </c>
      <c r="X29" t="inlineStr">
        <is>
          <t>Yellow</t>
        </is>
      </c>
    </row>
    <row r="30">
      <c r="A30" s="8" t="inlineStr">
        <is>
          <t>239 Kelton St #41, Allston, MA 02134</t>
        </is>
      </c>
      <c r="B30" t="inlineStr">
        <is>
          <t>Allston</t>
        </is>
      </c>
      <c r="C30" s="6" t="inlineStr">
        <is>
          <t>https://www.redfin.com/MA/Allston/239-Kelton-St-02134/unit-41/home/9001010</t>
        </is>
      </c>
      <c r="D30" s="3" t="n">
        <v>475000</v>
      </c>
      <c r="E30" s="3" t="n">
        <v>497</v>
      </c>
      <c r="F30" t="n">
        <v>2</v>
      </c>
      <c r="G30" t="n">
        <v>1</v>
      </c>
      <c r="H30" s="4" t="n">
        <v>690</v>
      </c>
      <c r="I30" t="inlineStr">
        <is>
          <t>No</t>
        </is>
      </c>
      <c r="J30" t="inlineStr">
        <is>
          <t>0 spaces</t>
        </is>
      </c>
      <c r="K30" s="3">
        <f>Assumptions!B3</f>
        <v/>
      </c>
      <c r="L30" s="3">
        <f>D30-K30</f>
        <v/>
      </c>
      <c r="M30" s="3">
        <f>-PMT(Assumptions!B2/12,Assumptions!B4*12,L30)</f>
        <v/>
      </c>
      <c r="N30" s="3">
        <f>D30*Assumptions!B5/12</f>
        <v/>
      </c>
      <c r="O30" s="3">
        <f>Assumptions!B6</f>
        <v/>
      </c>
      <c r="P30" s="3">
        <f>Assumptions!B7+Assumptions!B8</f>
        <v/>
      </c>
      <c r="Q30" s="3">
        <f>M30+E30+N30+O30+P30</f>
        <v/>
      </c>
      <c r="R30" s="3" t="n">
        <v>1235</v>
      </c>
      <c r="S30" s="3">
        <f>Q30-R30</f>
        <v/>
      </c>
      <c r="T30" t="n">
        <v>2.6</v>
      </c>
      <c r="U30" t="n">
        <v>12.9</v>
      </c>
      <c r="V30" t="n">
        <v>12.5</v>
      </c>
      <c r="W30" s="7" t="n">
        <v>2.1</v>
      </c>
      <c r="X30" t="inlineStr">
        <is>
          <t>Yellow</t>
        </is>
      </c>
    </row>
    <row r="31">
      <c r="A31" s="8" t="inlineStr">
        <is>
          <t>466 Commonwealth Ave #305, Boston, MA 02215</t>
        </is>
      </c>
      <c r="B31" t="inlineStr">
        <is>
          <t>Brookline</t>
        </is>
      </c>
      <c r="C31" s="6" t="inlineStr">
        <is>
          <t>https://www.redfin.com/MA/Boston/466-Commonwealth-Ave-02215/unit-305/home/9269210</t>
        </is>
      </c>
      <c r="D31" s="3" t="n">
        <v>489000</v>
      </c>
      <c r="E31" s="3" t="n">
        <v>314</v>
      </c>
      <c r="F31" t="n">
        <v>0</v>
      </c>
      <c r="G31" t="n">
        <v>1</v>
      </c>
      <c r="H31" s="4" t="n">
        <v>346</v>
      </c>
      <c r="I31" t="inlineStr">
        <is>
          <t>No</t>
        </is>
      </c>
      <c r="J31" t="inlineStr">
        <is>
          <t>0 spaces</t>
        </is>
      </c>
      <c r="K31" s="3">
        <f>Assumptions!B3</f>
        <v/>
      </c>
      <c r="L31" s="3">
        <f>D31-K31</f>
        <v/>
      </c>
      <c r="M31" s="3">
        <f>-PMT(Assumptions!B2/12,Assumptions!B4*12,L31)</f>
        <v/>
      </c>
      <c r="N31" s="3">
        <f>D31*Assumptions!B5/12</f>
        <v/>
      </c>
      <c r="O31" s="3">
        <f>Assumptions!B6</f>
        <v/>
      </c>
      <c r="P31" s="3">
        <f>Assumptions!B7+Assumptions!B8</f>
        <v/>
      </c>
      <c r="Q31" s="3">
        <f>M31+E31+N31+O31+P31</f>
        <v/>
      </c>
      <c r="R31" s="3" t="n">
        <v>0</v>
      </c>
      <c r="S31" s="3">
        <f>Q31-R31</f>
        <v/>
      </c>
      <c r="T31" t="n">
        <v>1.3</v>
      </c>
      <c r="U31" t="n">
        <v>11.2</v>
      </c>
      <c r="V31" t="n">
        <v>7.7</v>
      </c>
      <c r="W31" s="7" t="n">
        <v>2.1</v>
      </c>
      <c r="X31" t="inlineStr">
        <is>
          <t>Yellow</t>
        </is>
      </c>
    </row>
    <row r="32">
      <c r="A32" s="8" t="inlineStr">
        <is>
          <t>64 Queensberry St #114, Boston, MA 02215</t>
        </is>
      </c>
      <c r="B32" t="inlineStr">
        <is>
          <t>Brookline</t>
        </is>
      </c>
      <c r="C32" s="6" t="inlineStr">
        <is>
          <t>https://www.redfin.com/MA/Boston/64-Queensberry-St-02215/unit-114/home/9241481</t>
        </is>
      </c>
      <c r="D32" s="3" t="n">
        <v>425000</v>
      </c>
      <c r="E32" s="3" t="n">
        <v>395</v>
      </c>
      <c r="F32" t="n">
        <v>0</v>
      </c>
      <c r="G32" t="n">
        <v>1</v>
      </c>
      <c r="H32" s="4" t="n">
        <v>390</v>
      </c>
      <c r="I32" t="inlineStr">
        <is>
          <t>No</t>
        </is>
      </c>
      <c r="J32" t="inlineStr">
        <is>
          <t>0 spaces</t>
        </is>
      </c>
      <c r="K32" s="3">
        <f>Assumptions!B3</f>
        <v/>
      </c>
      <c r="L32" s="3">
        <f>D32-K32</f>
        <v/>
      </c>
      <c r="M32" s="3">
        <f>-PMT(Assumptions!B2/12,Assumptions!B4*12,L32)</f>
        <v/>
      </c>
      <c r="N32" s="3">
        <f>D32*Assumptions!B5/12</f>
        <v/>
      </c>
      <c r="O32" s="3">
        <f>Assumptions!B6</f>
        <v/>
      </c>
      <c r="P32" s="3">
        <f>Assumptions!B7+Assumptions!B8</f>
        <v/>
      </c>
      <c r="Q32" s="3">
        <f>M32+E32+N32+O32+P32</f>
        <v/>
      </c>
      <c r="R32" s="3" t="n">
        <v>0</v>
      </c>
      <c r="S32" s="3">
        <f>Q32-R32</f>
        <v/>
      </c>
      <c r="T32" t="n">
        <v>1.3</v>
      </c>
      <c r="U32" t="n">
        <v>11.9</v>
      </c>
      <c r="V32" t="n">
        <v>9.1</v>
      </c>
      <c r="W32" s="7" t="n">
        <v>2.1</v>
      </c>
      <c r="X32" t="inlineStr">
        <is>
          <t>Yellow</t>
        </is>
      </c>
    </row>
    <row r="33">
      <c r="A33" s="8" t="inlineStr">
        <is>
          <t>32 Almont St Unit 32-1, Medford, MA 02155</t>
        </is>
      </c>
      <c r="B33" t="inlineStr">
        <is>
          <t>Medford</t>
        </is>
      </c>
      <c r="C33" s="6" t="inlineStr">
        <is>
          <t>https://www.redfin.com/MA/Medford/32-Almont-St-02155/unit-32-1/home/11802621</t>
        </is>
      </c>
      <c r="D33" s="3" t="n">
        <v>330000</v>
      </c>
      <c r="E33" s="3" t="n">
        <v>291</v>
      </c>
      <c r="F33" t="n">
        <v>1</v>
      </c>
      <c r="G33" t="n">
        <v>1</v>
      </c>
      <c r="H33" s="4" t="n">
        <v>528</v>
      </c>
      <c r="I33" t="inlineStr">
        <is>
          <t>No</t>
        </is>
      </c>
      <c r="J33" t="inlineStr">
        <is>
          <t>0 spaces</t>
        </is>
      </c>
      <c r="K33" s="3">
        <f>Assumptions!B3</f>
        <v/>
      </c>
      <c r="L33" s="3">
        <f>D33-K33</f>
        <v/>
      </c>
      <c r="M33" s="3">
        <f>-PMT(Assumptions!B2/12,Assumptions!B4*12,L33)</f>
        <v/>
      </c>
      <c r="N33" s="3">
        <f>D33*Assumptions!B5/12</f>
        <v/>
      </c>
      <c r="O33" s="3">
        <f>Assumptions!B6</f>
        <v/>
      </c>
      <c r="P33" s="3">
        <f>Assumptions!B7+Assumptions!B8</f>
        <v/>
      </c>
      <c r="Q33" s="3">
        <f>M33+E33+N33+O33+P33</f>
        <v/>
      </c>
      <c r="R33" s="3" t="n">
        <v>0</v>
      </c>
      <c r="S33" s="3">
        <f>Q33-R33</f>
        <v/>
      </c>
      <c r="T33" t="n">
        <v>3.4</v>
      </c>
      <c r="U33" t="n">
        <v>11.4</v>
      </c>
      <c r="V33" t="n">
        <v>11.2</v>
      </c>
      <c r="W33" s="7" t="n">
        <v>2.1</v>
      </c>
      <c r="X33" t="inlineStr">
        <is>
          <t>Yellow</t>
        </is>
      </c>
    </row>
    <row r="34">
      <c r="A34" s="8" t="inlineStr">
        <is>
          <t>872 Massachusetts Ave #303, Cambridge, MA 02139</t>
        </is>
      </c>
      <c r="B34" t="inlineStr">
        <is>
          <t>Cambridge</t>
        </is>
      </c>
      <c r="C34" s="6" t="inlineStr">
        <is>
          <t>https://www.redfin.com/MA/Cambridge/872-Massachusetts-Ave-02139/unit-303/home/136730647</t>
        </is>
      </c>
      <c r="D34" s="3" t="n">
        <v>598000</v>
      </c>
      <c r="E34" s="3" t="n">
        <v>0</v>
      </c>
      <c r="F34" t="n">
        <v>1</v>
      </c>
      <c r="G34" t="n">
        <v>1.5</v>
      </c>
      <c r="H34" s="4" t="n">
        <v>750</v>
      </c>
      <c r="I34" t="inlineStr">
        <is>
          <t>No</t>
        </is>
      </c>
      <c r="J34" t="inlineStr">
        <is>
          <t>1 space</t>
        </is>
      </c>
      <c r="K34" s="3">
        <f>Assumptions!B3</f>
        <v/>
      </c>
      <c r="L34" s="3">
        <f>D34-K34</f>
        <v/>
      </c>
      <c r="M34" s="3">
        <f>-PMT(Assumptions!B2/12,Assumptions!B4*12,L34)</f>
        <v/>
      </c>
      <c r="N34" s="3">
        <f>D34*Assumptions!B5/12</f>
        <v/>
      </c>
      <c r="O34" s="3">
        <f>Assumptions!B6</f>
        <v/>
      </c>
      <c r="P34" s="3">
        <f>Assumptions!B7+Assumptions!B8</f>
        <v/>
      </c>
      <c r="Q34" s="3">
        <f>M34+E34+N34+O34+P34</f>
        <v/>
      </c>
      <c r="R34" s="3" t="n">
        <v>0</v>
      </c>
      <c r="S34" s="3">
        <f>Q34-R34</f>
        <v/>
      </c>
      <c r="T34" t="n">
        <v>1.2</v>
      </c>
      <c r="U34" t="n">
        <v>12.4</v>
      </c>
      <c r="V34" t="n">
        <v>5.8</v>
      </c>
      <c r="W34" s="7" t="n">
        <v>2.05</v>
      </c>
      <c r="X34" t="inlineStr">
        <is>
          <t>Yellow</t>
        </is>
      </c>
    </row>
    <row r="35">
      <c r="A35" s="8" t="inlineStr">
        <is>
          <t>88 Gordon St #304, Brighton, MA 02135</t>
        </is>
      </c>
      <c r="B35" t="inlineStr">
        <is>
          <t>Brighton</t>
        </is>
      </c>
      <c r="C35" s="6" t="inlineStr">
        <is>
          <t>https://www.redfin.com/MA/Brighton/88-Gordon-St-02135/unit-304/home/9226535</t>
        </is>
      </c>
      <c r="D35" s="3" t="n">
        <v>399000</v>
      </c>
      <c r="E35" s="3" t="n">
        <v>436</v>
      </c>
      <c r="F35" t="n">
        <v>1</v>
      </c>
      <c r="G35" t="n">
        <v>1</v>
      </c>
      <c r="H35" s="4" t="n">
        <v>533</v>
      </c>
      <c r="I35" t="inlineStr">
        <is>
          <t>No</t>
        </is>
      </c>
      <c r="J35" t="inlineStr">
        <is>
          <t>1 space</t>
        </is>
      </c>
      <c r="K35" s="3">
        <f>Assumptions!B3</f>
        <v/>
      </c>
      <c r="L35" s="3">
        <f>D35-K35</f>
        <v/>
      </c>
      <c r="M35" s="3">
        <f>-PMT(Assumptions!B2/12,Assumptions!B4*12,L35)</f>
        <v/>
      </c>
      <c r="N35" s="3">
        <f>D35*Assumptions!B5/12</f>
        <v/>
      </c>
      <c r="O35" s="3">
        <f>Assumptions!B6</f>
        <v/>
      </c>
      <c r="P35" s="3">
        <f>Assumptions!B7+Assumptions!B8</f>
        <v/>
      </c>
      <c r="Q35" s="3">
        <f>M35+E35+N35+O35+P35</f>
        <v/>
      </c>
      <c r="R35" s="3" t="n">
        <v>0</v>
      </c>
      <c r="S35" s="3">
        <f>Q35-R35</f>
        <v/>
      </c>
      <c r="T35" t="n">
        <v>3.1</v>
      </c>
      <c r="U35" t="n">
        <v>12.6</v>
      </c>
      <c r="V35" t="n">
        <v>12.2</v>
      </c>
      <c r="W35" s="7" t="n">
        <v>2</v>
      </c>
      <c r="X35" t="inlineStr">
        <is>
          <t>Yellow</t>
        </is>
      </c>
    </row>
    <row r="36">
      <c r="A36" s="8" t="inlineStr">
        <is>
          <t>15 Commonwealth Ct #10, Brighton, MA 02135</t>
        </is>
      </c>
      <c r="B36" t="inlineStr">
        <is>
          <t>Brighton</t>
        </is>
      </c>
      <c r="C36" s="6" t="inlineStr">
        <is>
          <t>https://www.redfin.com/MA/Brighton/15-Commonwealth-Ct-02135/unit-10/home/9014600</t>
        </is>
      </c>
      <c r="D36" s="3" t="n">
        <v>379900</v>
      </c>
      <c r="E36" s="3" t="n">
        <v>500</v>
      </c>
      <c r="F36" t="n">
        <v>1</v>
      </c>
      <c r="G36" t="n">
        <v>1</v>
      </c>
      <c r="H36" s="4" t="n">
        <v>688</v>
      </c>
      <c r="I36" t="inlineStr">
        <is>
          <t>No</t>
        </is>
      </c>
      <c r="J36" t="inlineStr">
        <is>
          <t>1 space</t>
        </is>
      </c>
      <c r="K36" s="3">
        <f>Assumptions!B3</f>
        <v/>
      </c>
      <c r="L36" s="3">
        <f>D36-K36</f>
        <v/>
      </c>
      <c r="M36" s="3">
        <f>-PMT(Assumptions!B2/12,Assumptions!B4*12,L36)</f>
        <v/>
      </c>
      <c r="N36" s="3">
        <f>D36*Assumptions!B5/12</f>
        <v/>
      </c>
      <c r="O36" s="3">
        <f>Assumptions!B6</f>
        <v/>
      </c>
      <c r="P36" s="3">
        <f>Assumptions!B7+Assumptions!B8</f>
        <v/>
      </c>
      <c r="Q36" s="3">
        <f>M36+E36+N36+O36+P36</f>
        <v/>
      </c>
      <c r="R36" s="3" t="n">
        <v>0</v>
      </c>
      <c r="S36" s="3">
        <f>Q36-R36</f>
        <v/>
      </c>
      <c r="T36" t="n">
        <v>1.2</v>
      </c>
      <c r="U36" t="n">
        <v>12.8</v>
      </c>
      <c r="V36" t="n">
        <v>12.4</v>
      </c>
      <c r="W36" s="7" t="n">
        <v>2</v>
      </c>
      <c r="X36" t="inlineStr">
        <is>
          <t>Yellow</t>
        </is>
      </c>
    </row>
    <row r="37">
      <c r="A37" s="8" t="inlineStr">
        <is>
          <t>1691 Commonwealth Ave #31, Brighton, MA 02135</t>
        </is>
      </c>
      <c r="B37" t="inlineStr">
        <is>
          <t>Brighton</t>
        </is>
      </c>
      <c r="C37" s="6" t="inlineStr">
        <is>
          <t>https://www.redfin.com/MA/Brighton/1691-Commonwealth-Ave-02135/unit-31/home/9020583</t>
        </is>
      </c>
      <c r="D37" s="3" t="n">
        <v>414900</v>
      </c>
      <c r="E37" s="3" t="n">
        <v>360</v>
      </c>
      <c r="F37" t="n">
        <v>1</v>
      </c>
      <c r="G37" t="n">
        <v>1</v>
      </c>
      <c r="H37" s="4" t="n">
        <v>520</v>
      </c>
      <c r="I37" t="inlineStr">
        <is>
          <t>No</t>
        </is>
      </c>
      <c r="J37" t="inlineStr">
        <is>
          <t>0 spaces</t>
        </is>
      </c>
      <c r="K37" s="3">
        <f>Assumptions!B3</f>
        <v/>
      </c>
      <c r="L37" s="3">
        <f>D37-K37</f>
        <v/>
      </c>
      <c r="M37" s="3">
        <f>-PMT(Assumptions!B2/12,Assumptions!B4*12,L37)</f>
        <v/>
      </c>
      <c r="N37" s="3">
        <f>D37*Assumptions!B5/12</f>
        <v/>
      </c>
      <c r="O37" s="3">
        <f>Assumptions!B6</f>
        <v/>
      </c>
      <c r="P37" s="3">
        <f>Assumptions!B7+Assumptions!B8</f>
        <v/>
      </c>
      <c r="Q37" s="3">
        <f>M37+E37+N37+O37+P37</f>
        <v/>
      </c>
      <c r="R37" s="3" t="n">
        <v>0</v>
      </c>
      <c r="S37" s="3">
        <f>Q37-R37</f>
        <v/>
      </c>
      <c r="T37" t="n">
        <v>1.6</v>
      </c>
      <c r="U37" t="n">
        <v>14.9</v>
      </c>
      <c r="V37" t="n">
        <v>14.5</v>
      </c>
      <c r="W37" s="7" t="n">
        <v>2</v>
      </c>
      <c r="X37" t="inlineStr">
        <is>
          <t>Yellow</t>
        </is>
      </c>
    </row>
    <row r="38">
      <c r="A38" s="8" t="inlineStr">
        <is>
          <t>191 Washington St, Boston, MA 02135</t>
        </is>
      </c>
      <c r="B38" t="inlineStr">
        <is>
          <t>Brighton</t>
        </is>
      </c>
      <c r="C38" s="6" t="inlineStr">
        <is>
          <t>https://www.redfin.com/MA/Boston/191-Washington-St-02135/home/184088757</t>
        </is>
      </c>
      <c r="D38" s="3" t="n">
        <v>564800</v>
      </c>
      <c r="E38" s="3" t="n">
        <v>0</v>
      </c>
      <c r="F38" t="n">
        <v>1</v>
      </c>
      <c r="G38" t="n">
        <v>1</v>
      </c>
      <c r="H38" s="4" t="n">
        <v>498</v>
      </c>
      <c r="I38" t="inlineStr">
        <is>
          <t>No</t>
        </is>
      </c>
      <c r="J38" t="inlineStr">
        <is>
          <t>0 spaces</t>
        </is>
      </c>
      <c r="K38" s="3">
        <f>Assumptions!B3</f>
        <v/>
      </c>
      <c r="L38" s="3">
        <f>D38-K38</f>
        <v/>
      </c>
      <c r="M38" s="3">
        <f>-PMT(Assumptions!B2/12,Assumptions!B4*12,L38)</f>
        <v/>
      </c>
      <c r="N38" s="3">
        <f>D38*Assumptions!B5/12</f>
        <v/>
      </c>
      <c r="O38" s="3">
        <f>Assumptions!B6</f>
        <v/>
      </c>
      <c r="P38" s="3">
        <f>Assumptions!B7+Assumptions!B8</f>
        <v/>
      </c>
      <c r="Q38" s="3">
        <f>M38+E38+N38+O38+P38</f>
        <v/>
      </c>
      <c r="R38" s="3" t="n">
        <v>0</v>
      </c>
      <c r="S38" s="3">
        <f>Q38-R38</f>
        <v/>
      </c>
      <c r="T38" t="n">
        <v>2.1</v>
      </c>
      <c r="U38" t="n">
        <v>13.6</v>
      </c>
      <c r="V38" t="n">
        <v>13.2</v>
      </c>
      <c r="W38" s="7" t="n">
        <v>2</v>
      </c>
      <c r="X38" t="inlineStr">
        <is>
          <t>Yellow</t>
        </is>
      </c>
    </row>
    <row r="39">
      <c r="A39" s="8" t="inlineStr">
        <is>
          <t>17 Buckingham St #3, Somerville, MA 02143</t>
        </is>
      </c>
      <c r="B39" t="inlineStr">
        <is>
          <t>Somerville</t>
        </is>
      </c>
      <c r="C39" s="6" t="inlineStr">
        <is>
          <t>https://www.redfin.com/MA/Somerville/17-Buckingham-St-02143/unit-3/home/200344678</t>
        </is>
      </c>
      <c r="D39" s="3" t="n">
        <v>474999</v>
      </c>
      <c r="E39" s="3" t="n">
        <v>233</v>
      </c>
      <c r="F39" t="n">
        <v>1</v>
      </c>
      <c r="G39" t="n">
        <v>1</v>
      </c>
      <c r="H39" s="4" t="n">
        <v>595</v>
      </c>
      <c r="I39" t="inlineStr">
        <is>
          <t>No</t>
        </is>
      </c>
      <c r="J39" t="inlineStr">
        <is>
          <t>1 space</t>
        </is>
      </c>
      <c r="K39" s="3">
        <f>Assumptions!B3</f>
        <v/>
      </c>
      <c r="L39" s="3">
        <f>D39-K39</f>
        <v/>
      </c>
      <c r="M39" s="3">
        <f>-PMT(Assumptions!B2/12,Assumptions!B4*12,L39)</f>
        <v/>
      </c>
      <c r="N39" s="3">
        <f>D39*Assumptions!B5/12</f>
        <v/>
      </c>
      <c r="O39" s="3">
        <f>Assumptions!B6</f>
        <v/>
      </c>
      <c r="P39" s="3">
        <f>Assumptions!B7+Assumptions!B8</f>
        <v/>
      </c>
      <c r="Q39" s="3">
        <f>M39+E39+N39+O39+P39</f>
        <v/>
      </c>
      <c r="R39" s="3" t="n">
        <v>0</v>
      </c>
      <c r="S39" s="3">
        <f>Q39-R39</f>
        <v/>
      </c>
      <c r="T39" t="n">
        <v>3.2</v>
      </c>
      <c r="U39" t="n">
        <v>11.7</v>
      </c>
      <c r="V39" t="n">
        <v>5.9</v>
      </c>
      <c r="W39" s="7" t="n">
        <v>2</v>
      </c>
      <c r="X39" t="inlineStr">
        <is>
          <t>Yellow</t>
        </is>
      </c>
    </row>
    <row r="40">
      <c r="A40" s="8" t="inlineStr">
        <is>
          <t>367 Somerville Ave Unit G, Somerville, MA 02143</t>
        </is>
      </c>
      <c r="B40" t="inlineStr">
        <is>
          <t>Somerville</t>
        </is>
      </c>
      <c r="C40" s="6" t="inlineStr">
        <is>
          <t>https://www.redfin.com/MA/Somerville/367-Somerville-Ave-02143/unit-G/home/8751476</t>
        </is>
      </c>
      <c r="D40" s="3" t="n">
        <v>425000</v>
      </c>
      <c r="E40" s="3" t="n">
        <v>304</v>
      </c>
      <c r="F40" t="n">
        <v>1</v>
      </c>
      <c r="G40" t="n">
        <v>1</v>
      </c>
      <c r="H40" s="4" t="n">
        <v>419</v>
      </c>
      <c r="I40" t="inlineStr">
        <is>
          <t>No</t>
        </is>
      </c>
      <c r="J40" t="inlineStr">
        <is>
          <t>0 spaces</t>
        </is>
      </c>
      <c r="K40" s="3">
        <f>Assumptions!B3</f>
        <v/>
      </c>
      <c r="L40" s="3">
        <f>D40-K40</f>
        <v/>
      </c>
      <c r="M40" s="3">
        <f>-PMT(Assumptions!B2/12,Assumptions!B4*12,L40)</f>
        <v/>
      </c>
      <c r="N40" s="3">
        <f>D40*Assumptions!B5/12</f>
        <v/>
      </c>
      <c r="O40" s="3">
        <f>Assumptions!B6</f>
        <v/>
      </c>
      <c r="P40" s="3">
        <f>Assumptions!B7+Assumptions!B8</f>
        <v/>
      </c>
      <c r="Q40" s="3">
        <f>M40+E40+N40+O40+P40</f>
        <v/>
      </c>
      <c r="R40" s="3" t="n">
        <v>0</v>
      </c>
      <c r="S40" s="3">
        <f>Q40-R40</f>
        <v/>
      </c>
      <c r="T40" t="n">
        <v>2.1</v>
      </c>
      <c r="U40" t="n">
        <v>10.3</v>
      </c>
      <c r="V40" t="n">
        <v>6</v>
      </c>
      <c r="W40" s="7" t="n">
        <v>2</v>
      </c>
      <c r="X40" t="inlineStr">
        <is>
          <t>Yellow</t>
        </is>
      </c>
    </row>
    <row r="41">
      <c r="A41" s="8" t="inlineStr">
        <is>
          <t>5 Waldo Ave Unit 2A, Somerville, MA 02143</t>
        </is>
      </c>
      <c r="B41" t="inlineStr">
        <is>
          <t>Somerville</t>
        </is>
      </c>
      <c r="C41" s="6" t="inlineStr">
        <is>
          <t>https://www.redfin.com/MA/Somerville/5-Waldo-Ave-02143/unit-2A/home/8759932</t>
        </is>
      </c>
      <c r="D41" s="3" t="n">
        <v>425000</v>
      </c>
      <c r="E41" s="3" t="n">
        <v>317</v>
      </c>
      <c r="F41" t="n">
        <v>1</v>
      </c>
      <c r="G41" t="n">
        <v>1</v>
      </c>
      <c r="H41" s="4" t="n">
        <v>530</v>
      </c>
      <c r="I41" t="inlineStr">
        <is>
          <t>No</t>
        </is>
      </c>
      <c r="J41" t="inlineStr">
        <is>
          <t>0 spaces</t>
        </is>
      </c>
      <c r="K41" s="3">
        <f>Assumptions!B3</f>
        <v/>
      </c>
      <c r="L41" s="3">
        <f>D41-K41</f>
        <v/>
      </c>
      <c r="M41" s="3">
        <f>-PMT(Assumptions!B2/12,Assumptions!B4*12,L41)</f>
        <v/>
      </c>
      <c r="N41" s="3">
        <f>D41*Assumptions!B5/12</f>
        <v/>
      </c>
      <c r="O41" s="3">
        <f>Assumptions!B6</f>
        <v/>
      </c>
      <c r="P41" s="3">
        <f>Assumptions!B7+Assumptions!B8</f>
        <v/>
      </c>
      <c r="Q41" s="3">
        <f>M41+E41+N41+O41+P41</f>
        <v/>
      </c>
      <c r="R41" s="3" t="n">
        <v>0</v>
      </c>
      <c r="S41" s="3">
        <f>Q41-R41</f>
        <v/>
      </c>
      <c r="T41" t="n">
        <v>3.2</v>
      </c>
      <c r="U41" t="n">
        <v>11.7</v>
      </c>
      <c r="V41" t="n">
        <v>6</v>
      </c>
      <c r="W41" s="7" t="n">
        <v>2</v>
      </c>
      <c r="X41" t="inlineStr">
        <is>
          <t>Yellow</t>
        </is>
      </c>
    </row>
    <row r="42">
      <c r="A42" s="8" t="inlineStr">
        <is>
          <t>764 Cambridge St #6, Cambridge, MA 02141</t>
        </is>
      </c>
      <c r="B42" t="inlineStr">
        <is>
          <t>Cambridge</t>
        </is>
      </c>
      <c r="C42" s="6" t="inlineStr">
        <is>
          <t>https://www.redfin.com/MA/Cambridge/764-Cambridge-St-02141/unit-6/home/11601252</t>
        </is>
      </c>
      <c r="D42" s="3" t="n">
        <v>490000</v>
      </c>
      <c r="E42" s="3" t="n">
        <v>385</v>
      </c>
      <c r="F42" t="n">
        <v>1</v>
      </c>
      <c r="G42" t="n">
        <v>1</v>
      </c>
      <c r="H42" s="4" t="n">
        <v>620</v>
      </c>
      <c r="I42" t="inlineStr">
        <is>
          <t>No</t>
        </is>
      </c>
      <c r="J42" t="inlineStr">
        <is>
          <t>0 spaces</t>
        </is>
      </c>
      <c r="K42" s="3">
        <f>Assumptions!B3</f>
        <v/>
      </c>
      <c r="L42" s="3">
        <f>D42-K42</f>
        <v/>
      </c>
      <c r="M42" s="3">
        <f>-PMT(Assumptions!B2/12,Assumptions!B4*12,L42)</f>
        <v/>
      </c>
      <c r="N42" s="3">
        <f>D42*Assumptions!B5/12</f>
        <v/>
      </c>
      <c r="O42" s="3">
        <f>Assumptions!B6</f>
        <v/>
      </c>
      <c r="P42" s="3">
        <f>Assumptions!B7+Assumptions!B8</f>
        <v/>
      </c>
      <c r="Q42" s="3">
        <f>M42+E42+N42+O42+P42</f>
        <v/>
      </c>
      <c r="R42" s="3" t="n">
        <v>0</v>
      </c>
      <c r="S42" s="3">
        <f>Q42-R42</f>
        <v/>
      </c>
      <c r="T42" t="n">
        <v>2.9</v>
      </c>
      <c r="U42" t="n">
        <v>8.699999999999999</v>
      </c>
      <c r="V42" t="n">
        <v>3.7</v>
      </c>
      <c r="W42" s="7" t="n">
        <v>2</v>
      </c>
      <c r="X42" t="inlineStr">
        <is>
          <t>Yellow</t>
        </is>
      </c>
    </row>
    <row r="43">
      <c r="A43" s="8" t="inlineStr">
        <is>
          <t>50 Water St #24, Medford, MA 02155</t>
        </is>
      </c>
      <c r="B43" t="inlineStr">
        <is>
          <t>Medford</t>
        </is>
      </c>
      <c r="C43" s="6" t="inlineStr">
        <is>
          <t>https://www.redfin.com/MA/Medford/50-Water-St-02155/unit-24/home/11787534</t>
        </is>
      </c>
      <c r="D43" s="3" t="n">
        <v>389900</v>
      </c>
      <c r="E43" s="3" t="n">
        <v>465</v>
      </c>
      <c r="F43" t="n">
        <v>1</v>
      </c>
      <c r="G43" t="n">
        <v>1</v>
      </c>
      <c r="H43" s="4" t="n">
        <v>634</v>
      </c>
      <c r="I43" t="inlineStr">
        <is>
          <t>No</t>
        </is>
      </c>
      <c r="J43" t="inlineStr">
        <is>
          <t>1 space</t>
        </is>
      </c>
      <c r="K43" s="3">
        <f>Assumptions!B3</f>
        <v/>
      </c>
      <c r="L43" s="3">
        <f>D43-K43</f>
        <v/>
      </c>
      <c r="M43" s="3">
        <f>-PMT(Assumptions!B2/12,Assumptions!B4*12,L43)</f>
        <v/>
      </c>
      <c r="N43" s="3">
        <f>D43*Assumptions!B5/12</f>
        <v/>
      </c>
      <c r="O43" s="3">
        <f>Assumptions!B6</f>
        <v/>
      </c>
      <c r="P43" s="3">
        <f>Assumptions!B7+Assumptions!B8</f>
        <v/>
      </c>
      <c r="Q43" s="3">
        <f>M43+E43+N43+O43+P43</f>
        <v/>
      </c>
      <c r="R43" s="3" t="n">
        <v>0</v>
      </c>
      <c r="S43" s="3">
        <f>Q43-R43</f>
        <v/>
      </c>
      <c r="T43" t="n">
        <v>3.5</v>
      </c>
      <c r="U43" t="n">
        <v>10.3</v>
      </c>
      <c r="V43" t="n">
        <v>10.5</v>
      </c>
      <c r="W43" s="7" t="n">
        <v>2</v>
      </c>
      <c r="X43" t="inlineStr">
        <is>
          <t>Yellow</t>
        </is>
      </c>
    </row>
    <row r="44">
      <c r="A44" s="8" t="inlineStr">
        <is>
          <t>1-Bedroom Plan, Quincy, MA 02169</t>
        </is>
      </c>
      <c r="B44" t="inlineStr">
        <is>
          <t>Quincy</t>
        </is>
      </c>
      <c r="C44" s="6" t="inlineStr">
        <is>
          <t>https://www.redfin.com/MA/Quincy/Quincy/1-Bedroom/home/197950895</t>
        </is>
      </c>
      <c r="D44" s="3" t="n">
        <v>399000</v>
      </c>
      <c r="E44" s="3" t="n">
        <v>0</v>
      </c>
      <c r="F44" t="n">
        <v>1</v>
      </c>
      <c r="G44" t="n">
        <v>1</v>
      </c>
      <c r="H44" s="4" t="n">
        <v>500</v>
      </c>
      <c r="I44" t="inlineStr">
        <is>
          <t>No</t>
        </is>
      </c>
      <c r="J44" t="inlineStr">
        <is>
          <t>Unknown</t>
        </is>
      </c>
      <c r="K44" s="3">
        <f>Assumptions!B3</f>
        <v/>
      </c>
      <c r="L44" s="3">
        <f>D44-K44</f>
        <v/>
      </c>
      <c r="M44" s="3">
        <f>-PMT(Assumptions!B2/12,Assumptions!B4*12,L44)</f>
        <v/>
      </c>
      <c r="N44" s="3">
        <f>D44*Assumptions!B5/12</f>
        <v/>
      </c>
      <c r="O44" s="3">
        <f>Assumptions!B6</f>
        <v/>
      </c>
      <c r="P44" s="3">
        <f>Assumptions!B7+Assumptions!B8</f>
        <v/>
      </c>
      <c r="Q44" s="3">
        <f>M44+E44+N44+O44+P44</f>
        <v/>
      </c>
      <c r="R44" s="3" t="n">
        <v>0</v>
      </c>
      <c r="S44" s="3">
        <f>Q44-R44</f>
        <v/>
      </c>
      <c r="T44" t="n">
        <v>1.4</v>
      </c>
      <c r="U44" t="n">
        <v>17.1</v>
      </c>
      <c r="V44" t="n">
        <v>21.2</v>
      </c>
      <c r="W44" s="7" t="n">
        <v>1.95</v>
      </c>
      <c r="X44" t="inlineStr">
        <is>
          <t>Yellow</t>
        </is>
      </c>
    </row>
    <row r="45">
      <c r="A45" s="8" t="inlineStr">
        <is>
          <t>2-Bedrooms Plan, Quincy, MA 02169</t>
        </is>
      </c>
      <c r="B45" t="inlineStr">
        <is>
          <t>Quincy</t>
        </is>
      </c>
      <c r="C45" s="6" t="inlineStr">
        <is>
          <t>https://www.redfin.com/MA/Quincy/Quincy/2-Bedrooms/home/197950891</t>
        </is>
      </c>
      <c r="D45" s="3" t="n">
        <v>599000</v>
      </c>
      <c r="E45" s="3" t="n">
        <v>0</v>
      </c>
      <c r="F45" t="n">
        <v>2</v>
      </c>
      <c r="G45" t="n">
        <v>2</v>
      </c>
      <c r="H45" s="4" t="n">
        <v>900</v>
      </c>
      <c r="I45" t="inlineStr">
        <is>
          <t>No</t>
        </is>
      </c>
      <c r="J45" t="inlineStr">
        <is>
          <t>Unknown</t>
        </is>
      </c>
      <c r="K45" s="3">
        <f>Assumptions!B3</f>
        <v/>
      </c>
      <c r="L45" s="3">
        <f>D45-K45</f>
        <v/>
      </c>
      <c r="M45" s="3">
        <f>-PMT(Assumptions!B2/12,Assumptions!B4*12,L45)</f>
        <v/>
      </c>
      <c r="N45" s="3">
        <f>D45*Assumptions!B5/12</f>
        <v/>
      </c>
      <c r="O45" s="3">
        <f>Assumptions!B6</f>
        <v/>
      </c>
      <c r="P45" s="3">
        <f>Assumptions!B7+Assumptions!B8</f>
        <v/>
      </c>
      <c r="Q45" s="3">
        <f>M45+E45+N45+O45+P45</f>
        <v/>
      </c>
      <c r="R45" s="3" t="n">
        <v>1170</v>
      </c>
      <c r="S45" s="3">
        <f>Q45-R45</f>
        <v/>
      </c>
      <c r="T45" t="n">
        <v>1.4</v>
      </c>
      <c r="U45" t="n">
        <v>17.1</v>
      </c>
      <c r="V45" t="n">
        <v>21.2</v>
      </c>
      <c r="W45" s="7" t="n">
        <v>1.95</v>
      </c>
      <c r="X45" t="inlineStr">
        <is>
          <t>Yellow</t>
        </is>
      </c>
    </row>
    <row r="46">
      <c r="A46" s="8" t="inlineStr">
        <is>
          <t>16 Winter Unit 26C, Waltham, MA 02451</t>
        </is>
      </c>
      <c r="B46" t="inlineStr">
        <is>
          <t>Waltham</t>
        </is>
      </c>
      <c r="C46" s="6" t="inlineStr">
        <is>
          <t>https://www.redfin.com/MA/Waltham/16-Winter-St-02451/unit-26C/home/11804463</t>
        </is>
      </c>
      <c r="D46" s="3" t="n">
        <v>425000</v>
      </c>
      <c r="E46" s="3" t="n">
        <v>422</v>
      </c>
      <c r="F46" t="n">
        <v>2</v>
      </c>
      <c r="G46" t="n">
        <v>2</v>
      </c>
      <c r="H46" s="4" t="n">
        <v>1000</v>
      </c>
      <c r="I46" t="inlineStr">
        <is>
          <t>No</t>
        </is>
      </c>
      <c r="J46" t="inlineStr">
        <is>
          <t>1 space</t>
        </is>
      </c>
      <c r="K46" s="3">
        <f>Assumptions!B3</f>
        <v/>
      </c>
      <c r="L46" s="3">
        <f>D46-K46</f>
        <v/>
      </c>
      <c r="M46" s="3">
        <f>-PMT(Assumptions!B2/12,Assumptions!B4*12,L46)</f>
        <v/>
      </c>
      <c r="N46" s="3">
        <f>D46*Assumptions!B5/12</f>
        <v/>
      </c>
      <c r="O46" s="3">
        <f>Assumptions!B6</f>
        <v/>
      </c>
      <c r="P46" s="3">
        <f>Assumptions!B7+Assumptions!B8</f>
        <v/>
      </c>
      <c r="Q46" s="3">
        <f>M46+E46+N46+O46+P46</f>
        <v/>
      </c>
      <c r="R46" s="3" t="n">
        <v>1235</v>
      </c>
      <c r="S46" s="3">
        <f>Q46-R46</f>
        <v/>
      </c>
      <c r="T46" t="n">
        <v>13.2</v>
      </c>
      <c r="U46" t="n">
        <v>25.7</v>
      </c>
      <c r="V46" t="n">
        <v>23.6</v>
      </c>
      <c r="W46" s="7" t="n">
        <v>1.95</v>
      </c>
      <c r="X46" t="inlineStr">
        <is>
          <t>Yellow</t>
        </is>
      </c>
    </row>
    <row r="47">
      <c r="A47" s="8" t="inlineStr">
        <is>
          <t>31 Warren St Unit B1, Waltham, MA 02453</t>
        </is>
      </c>
      <c r="B47" t="inlineStr">
        <is>
          <t>Waltham</t>
        </is>
      </c>
      <c r="C47" s="6" t="inlineStr">
        <is>
          <t>https://www.redfin.com/MA/Waltham/31-Warren-St-02453/unit-B1/home/11815449</t>
        </is>
      </c>
      <c r="D47" s="3" t="n">
        <v>429000</v>
      </c>
      <c r="E47" s="3" t="n">
        <v>497</v>
      </c>
      <c r="F47" t="n">
        <v>2</v>
      </c>
      <c r="G47" t="n">
        <v>1</v>
      </c>
      <c r="H47" s="4" t="n">
        <v>708</v>
      </c>
      <c r="I47" t="inlineStr">
        <is>
          <t>No</t>
        </is>
      </c>
      <c r="J47" t="inlineStr">
        <is>
          <t>2 spaces</t>
        </is>
      </c>
      <c r="K47" s="3">
        <f>Assumptions!B3</f>
        <v/>
      </c>
      <c r="L47" s="3">
        <f>D47-K47</f>
        <v/>
      </c>
      <c r="M47" s="3">
        <f>-PMT(Assumptions!B2/12,Assumptions!B4*12,L47)</f>
        <v/>
      </c>
      <c r="N47" s="3">
        <f>D47*Assumptions!B5/12</f>
        <v/>
      </c>
      <c r="O47" s="3">
        <f>Assumptions!B6</f>
        <v/>
      </c>
      <c r="P47" s="3">
        <f>Assumptions!B7+Assumptions!B8</f>
        <v/>
      </c>
      <c r="Q47" s="3">
        <f>M47+E47+N47+O47+P47</f>
        <v/>
      </c>
      <c r="R47" s="3" t="n">
        <v>1235</v>
      </c>
      <c r="S47" s="3">
        <f>Q47-R47</f>
        <v/>
      </c>
      <c r="T47" t="n">
        <v>10.5</v>
      </c>
      <c r="U47" t="n">
        <v>19.2</v>
      </c>
      <c r="V47" t="n">
        <v>18</v>
      </c>
      <c r="W47" s="7" t="n">
        <v>1.95</v>
      </c>
      <c r="X47" t="inlineStr">
        <is>
          <t>Yellow</t>
        </is>
      </c>
    </row>
    <row r="48">
      <c r="A48" s="8" t="inlineStr">
        <is>
          <t>1151 Walnut #304, Newton, MA 02461</t>
        </is>
      </c>
      <c r="B48" t="inlineStr">
        <is>
          <t>Newton</t>
        </is>
      </c>
      <c r="C48" s="6" t="inlineStr">
        <is>
          <t>https://www.redfin.com/MA/Newton/1151-Walnut-St-02461/unit-304/home/200156614</t>
        </is>
      </c>
      <c r="D48" s="3" t="n">
        <v>495000</v>
      </c>
      <c r="E48" s="3" t="n">
        <v>196</v>
      </c>
      <c r="F48" t="n">
        <v>0</v>
      </c>
      <c r="G48" t="n">
        <v>1</v>
      </c>
      <c r="H48" s="4" t="n">
        <v>511</v>
      </c>
      <c r="I48" t="inlineStr">
        <is>
          <t>No</t>
        </is>
      </c>
      <c r="J48" t="inlineStr">
        <is>
          <t>0 spaces</t>
        </is>
      </c>
      <c r="K48" s="3">
        <f>Assumptions!B3</f>
        <v/>
      </c>
      <c r="L48" s="3">
        <f>D48-K48</f>
        <v/>
      </c>
      <c r="M48" s="3">
        <f>-PMT(Assumptions!B2/12,Assumptions!B4*12,L48)</f>
        <v/>
      </c>
      <c r="N48" s="3">
        <f>D48*Assumptions!B5/12</f>
        <v/>
      </c>
      <c r="O48" s="3">
        <f>Assumptions!B6</f>
        <v/>
      </c>
      <c r="P48" s="3">
        <f>Assumptions!B7+Assumptions!B8</f>
        <v/>
      </c>
      <c r="Q48" s="3">
        <f>M48+E48+N48+O48+P48</f>
        <v/>
      </c>
      <c r="R48" s="3" t="n">
        <v>0</v>
      </c>
      <c r="S48" s="3">
        <f>Q48-R48</f>
        <v/>
      </c>
      <c r="T48" t="n">
        <v>0.1</v>
      </c>
      <c r="U48" t="n">
        <v>19.4</v>
      </c>
      <c r="V48" t="n">
        <v>19.9</v>
      </c>
      <c r="W48" s="7" t="n">
        <v>1.95</v>
      </c>
      <c r="X48" t="inlineStr">
        <is>
          <t>Yellow</t>
        </is>
      </c>
    </row>
    <row r="49">
      <c r="A49" s="8" t="inlineStr">
        <is>
          <t>42 Bryon Rd #6, Chestnut Hill, MA 02132</t>
        </is>
      </c>
      <c r="B49" t="inlineStr">
        <is>
          <t>Newton</t>
        </is>
      </c>
      <c r="C49" s="6" t="inlineStr">
        <is>
          <t>https://www.redfin.com/MA/Chestnut-Hill/42-Bryon-Rd-02467/unit-6/home/9204495</t>
        </is>
      </c>
      <c r="D49" s="3" t="n">
        <v>449900</v>
      </c>
      <c r="E49" s="3" t="n">
        <v>465</v>
      </c>
      <c r="F49" t="n">
        <v>2</v>
      </c>
      <c r="G49" t="n">
        <v>1</v>
      </c>
      <c r="H49" s="4" t="n">
        <v>780</v>
      </c>
      <c r="I49" t="inlineStr">
        <is>
          <t>No</t>
        </is>
      </c>
      <c r="J49" t="inlineStr">
        <is>
          <t>2 spaces</t>
        </is>
      </c>
      <c r="K49" s="3">
        <f>Assumptions!B3</f>
        <v/>
      </c>
      <c r="L49" s="3">
        <f>D49-K49</f>
        <v/>
      </c>
      <c r="M49" s="3">
        <f>-PMT(Assumptions!B2/12,Assumptions!B4*12,L49)</f>
        <v/>
      </c>
      <c r="N49" s="3">
        <f>D49*Assumptions!B5/12</f>
        <v/>
      </c>
      <c r="O49" s="3">
        <f>Assumptions!B6</f>
        <v/>
      </c>
      <c r="P49" s="3">
        <f>Assumptions!B7+Assumptions!B8</f>
        <v/>
      </c>
      <c r="Q49" s="3">
        <f>M49+E49+N49+O49+P49</f>
        <v/>
      </c>
      <c r="R49" s="3" t="n">
        <v>1430</v>
      </c>
      <c r="S49" s="3">
        <f>Q49-R49</f>
        <v/>
      </c>
      <c r="T49" t="n">
        <v>6.1</v>
      </c>
      <c r="U49" t="n">
        <v>23.2</v>
      </c>
      <c r="V49" t="n">
        <v>21.6</v>
      </c>
      <c r="W49" s="7" t="n">
        <v>1.95</v>
      </c>
      <c r="X49" t="inlineStr">
        <is>
          <t>Yellow</t>
        </is>
      </c>
    </row>
    <row r="50">
      <c r="A50" s="8" t="inlineStr">
        <is>
          <t>7 Lothian Rd Unit B, Brighton, MA 02135</t>
        </is>
      </c>
      <c r="B50" t="inlineStr">
        <is>
          <t>Brighton</t>
        </is>
      </c>
      <c r="C50" s="6" t="inlineStr">
        <is>
          <t>https://www.redfin.com/MA/Brighton/7-Lothian-Rd-02135/unit-B/home/9025402</t>
        </is>
      </c>
      <c r="D50" s="3" t="n">
        <v>539900</v>
      </c>
      <c r="E50" s="3" t="n">
        <v>417</v>
      </c>
      <c r="F50" t="n">
        <v>3</v>
      </c>
      <c r="G50" t="n">
        <v>1</v>
      </c>
      <c r="H50" s="4" t="n">
        <v>900</v>
      </c>
      <c r="I50" t="inlineStr">
        <is>
          <t>No</t>
        </is>
      </c>
      <c r="J50" t="inlineStr">
        <is>
          <t>0 spaces</t>
        </is>
      </c>
      <c r="K50" s="3">
        <f>Assumptions!B3</f>
        <v/>
      </c>
      <c r="L50" s="3">
        <f>D50-K50</f>
        <v/>
      </c>
      <c r="M50" s="3">
        <f>-PMT(Assumptions!B2/12,Assumptions!B4*12,L50)</f>
        <v/>
      </c>
      <c r="N50" s="3">
        <f>D50*Assumptions!B5/12</f>
        <v/>
      </c>
      <c r="O50" s="3">
        <f>Assumptions!B6</f>
        <v/>
      </c>
      <c r="P50" s="3">
        <f>Assumptions!B7+Assumptions!B8</f>
        <v/>
      </c>
      <c r="Q50" s="3">
        <f>M50+E50+N50+O50+P50</f>
        <v/>
      </c>
      <c r="R50" s="3" t="n">
        <v>1300</v>
      </c>
      <c r="S50" s="3">
        <f>Q50-R50</f>
        <v/>
      </c>
      <c r="T50" t="n">
        <v>1.2</v>
      </c>
      <c r="U50" t="n">
        <v>16</v>
      </c>
      <c r="V50" t="n">
        <v>14.4</v>
      </c>
      <c r="W50" s="7" t="n">
        <v>1.95</v>
      </c>
      <c r="X50" t="inlineStr">
        <is>
          <t>Yellow</t>
        </is>
      </c>
    </row>
    <row r="51">
      <c r="A51" s="8" t="inlineStr">
        <is>
          <t>6 Washington Ave #11, Cambridge, MA 02140</t>
        </is>
      </c>
      <c r="B51" t="inlineStr">
        <is>
          <t>Cambridge</t>
        </is>
      </c>
      <c r="C51" s="6" t="inlineStr">
        <is>
          <t>https://www.redfin.com/MA/Cambridge/6-Washington-Ave-02140/unit-11/home/11585376</t>
        </is>
      </c>
      <c r="D51" s="3" t="n">
        <v>469000</v>
      </c>
      <c r="E51" s="3" t="n">
        <v>320</v>
      </c>
      <c r="F51" t="n">
        <v>0</v>
      </c>
      <c r="G51" t="n">
        <v>1</v>
      </c>
      <c r="H51" s="4" t="n">
        <v>433</v>
      </c>
      <c r="I51" t="inlineStr">
        <is>
          <t>No</t>
        </is>
      </c>
      <c r="J51" t="inlineStr">
        <is>
          <t>0 spaces</t>
        </is>
      </c>
      <c r="K51" s="3">
        <f>Assumptions!B3</f>
        <v/>
      </c>
      <c r="L51" s="3">
        <f>D51-K51</f>
        <v/>
      </c>
      <c r="M51" s="3">
        <f>-PMT(Assumptions!B2/12,Assumptions!B4*12,L51)</f>
        <v/>
      </c>
      <c r="N51" s="3">
        <f>D51*Assumptions!B5/12</f>
        <v/>
      </c>
      <c r="O51" s="3">
        <f>Assumptions!B6</f>
        <v/>
      </c>
      <c r="P51" s="3">
        <f>Assumptions!B7+Assumptions!B8</f>
        <v/>
      </c>
      <c r="Q51" s="3">
        <f>M51+E51+N51+O51+P51</f>
        <v/>
      </c>
      <c r="R51" s="3" t="n">
        <v>0</v>
      </c>
      <c r="S51" s="3">
        <f>Q51-R51</f>
        <v/>
      </c>
      <c r="T51" t="n">
        <v>2.1</v>
      </c>
      <c r="U51" t="n">
        <v>15.8</v>
      </c>
      <c r="V51" t="n">
        <v>10.3</v>
      </c>
      <c r="W51" s="7" t="n">
        <v>1.95</v>
      </c>
      <c r="X51" t="inlineStr">
        <is>
          <t>Yellow</t>
        </is>
      </c>
    </row>
    <row r="52">
      <c r="A52" s="8" t="inlineStr">
        <is>
          <t>138 Quincy Shore Dr #170, Quincy, MA 02171</t>
        </is>
      </c>
      <c r="B52" t="inlineStr">
        <is>
          <t>Quincy</t>
        </is>
      </c>
      <c r="C52" s="6" t="inlineStr">
        <is>
          <t>https://www.redfin.com/MA/Quincy/138-Quincy-Shore-Dr-02171/unit-170/home/9010050</t>
        </is>
      </c>
      <c r="D52" s="3" t="n">
        <v>589999</v>
      </c>
      <c r="E52" s="3" t="n">
        <v>497</v>
      </c>
      <c r="F52" t="n">
        <v>2</v>
      </c>
      <c r="G52" t="n">
        <v>2.5</v>
      </c>
      <c r="H52" s="4" t="n">
        <v>1460</v>
      </c>
      <c r="I52" t="inlineStr">
        <is>
          <t>No</t>
        </is>
      </c>
      <c r="J52" t="inlineStr">
        <is>
          <t>2 spaces</t>
        </is>
      </c>
      <c r="K52" s="3">
        <f>Assumptions!B3</f>
        <v/>
      </c>
      <c r="L52" s="3">
        <f>D52-K52</f>
        <v/>
      </c>
      <c r="M52" s="3">
        <f>-PMT(Assumptions!B2/12,Assumptions!B4*12,L52)</f>
        <v/>
      </c>
      <c r="N52" s="3">
        <f>D52*Assumptions!B5/12</f>
        <v/>
      </c>
      <c r="O52" s="3">
        <f>Assumptions!B6</f>
        <v/>
      </c>
      <c r="P52" s="3">
        <f>Assumptions!B7+Assumptions!B8</f>
        <v/>
      </c>
      <c r="Q52" s="3">
        <f>M52+E52+N52+O52+P52</f>
        <v/>
      </c>
      <c r="R52" s="3" t="n">
        <v>1170</v>
      </c>
      <c r="S52" s="3">
        <f>Q52-R52</f>
        <v/>
      </c>
      <c r="T52" t="n">
        <v>4.5</v>
      </c>
      <c r="U52" t="n">
        <v>12.1</v>
      </c>
      <c r="V52" t="n">
        <v>16.2</v>
      </c>
      <c r="W52" s="7" t="n">
        <v>1.9</v>
      </c>
      <c r="X52" t="inlineStr">
        <is>
          <t>Yellow</t>
        </is>
      </c>
    </row>
    <row r="53">
      <c r="A53" s="8" t="inlineStr">
        <is>
          <t>35 Homer Ave #7, Cambridge, MA 02138</t>
        </is>
      </c>
      <c r="B53" t="inlineStr">
        <is>
          <t>Watertown</t>
        </is>
      </c>
      <c r="C53" s="6" t="inlineStr">
        <is>
          <t>https://www.redfin.com/MA/Cambridge/35-Homer-Ave-02138/unit-7/home/12442078</t>
        </is>
      </c>
      <c r="D53" s="3" t="n">
        <v>500000</v>
      </c>
      <c r="E53" s="3" t="n">
        <v>325</v>
      </c>
      <c r="F53" t="n">
        <v>1</v>
      </c>
      <c r="G53" t="n">
        <v>1</v>
      </c>
      <c r="H53" s="4" t="n">
        <v>504</v>
      </c>
      <c r="I53" t="inlineStr">
        <is>
          <t>No</t>
        </is>
      </c>
      <c r="J53" t="inlineStr">
        <is>
          <t>1 space</t>
        </is>
      </c>
      <c r="K53" s="3">
        <f>Assumptions!B3</f>
        <v/>
      </c>
      <c r="L53" s="3">
        <f>D53-K53</f>
        <v/>
      </c>
      <c r="M53" s="3">
        <f>-PMT(Assumptions!B2/12,Assumptions!B4*12,L53)</f>
        <v/>
      </c>
      <c r="N53" s="3">
        <f>D53*Assumptions!B5/12</f>
        <v/>
      </c>
      <c r="O53" s="3">
        <f>Assumptions!B6</f>
        <v/>
      </c>
      <c r="P53" s="3">
        <f>Assumptions!B7+Assumptions!B8</f>
        <v/>
      </c>
      <c r="Q53" s="3">
        <f>M53+E53+N53+O53+P53</f>
        <v/>
      </c>
      <c r="R53" s="3" t="n">
        <v>0</v>
      </c>
      <c r="S53" s="3">
        <f>Q53-R53</f>
        <v/>
      </c>
      <c r="T53" t="n">
        <v>5</v>
      </c>
      <c r="U53" t="n">
        <v>14.2</v>
      </c>
      <c r="V53" t="n">
        <v>11.8</v>
      </c>
      <c r="W53" s="7" t="n">
        <v>1.9</v>
      </c>
      <c r="X53" t="inlineStr">
        <is>
          <t>Yellow</t>
        </is>
      </c>
    </row>
    <row r="54">
      <c r="A54" s="8" t="inlineStr">
        <is>
          <t>100 Lanark Rd #8, Brighton, MA 02135</t>
        </is>
      </c>
      <c r="B54" t="inlineStr">
        <is>
          <t>Brighton</t>
        </is>
      </c>
      <c r="C54" s="6" t="inlineStr">
        <is>
          <t>https://www.redfin.com/MA/Brighton/100-Lanark-Rd-02135/unit-8/home/9022520</t>
        </is>
      </c>
      <c r="D54" s="3" t="n">
        <v>420000</v>
      </c>
      <c r="E54" s="3" t="n">
        <v>500</v>
      </c>
      <c r="F54" t="n">
        <v>1</v>
      </c>
      <c r="G54" t="n">
        <v>1</v>
      </c>
      <c r="H54" s="4" t="n">
        <v>560</v>
      </c>
      <c r="I54" t="inlineStr">
        <is>
          <t>No</t>
        </is>
      </c>
      <c r="J54" t="inlineStr">
        <is>
          <t>0 spaces</t>
        </is>
      </c>
      <c r="K54" s="3">
        <f>Assumptions!B3</f>
        <v/>
      </c>
      <c r="L54" s="3">
        <f>D54-K54</f>
        <v/>
      </c>
      <c r="M54" s="3">
        <f>-PMT(Assumptions!B2/12,Assumptions!B4*12,L54)</f>
        <v/>
      </c>
      <c r="N54" s="3">
        <f>D54*Assumptions!B5/12</f>
        <v/>
      </c>
      <c r="O54" s="3">
        <f>Assumptions!B6</f>
        <v/>
      </c>
      <c r="P54" s="3">
        <f>Assumptions!B7+Assumptions!B8</f>
        <v/>
      </c>
      <c r="Q54" s="3">
        <f>M54+E54+N54+O54+P54</f>
        <v/>
      </c>
      <c r="R54" s="3" t="n">
        <v>0</v>
      </c>
      <c r="S54" s="3">
        <f>Q54-R54</f>
        <v/>
      </c>
      <c r="T54" t="n">
        <v>0.8</v>
      </c>
      <c r="U54" t="n">
        <v>14.8</v>
      </c>
      <c r="V54" t="n">
        <v>14</v>
      </c>
      <c r="W54" s="7" t="n">
        <v>1.9</v>
      </c>
      <c r="X54" t="inlineStr">
        <is>
          <t>Yellow</t>
        </is>
      </c>
    </row>
    <row r="55">
      <c r="A55" s="8" t="inlineStr">
        <is>
          <t>4 Franklin St #202, Boston, MA 02134</t>
        </is>
      </c>
      <c r="B55" t="inlineStr">
        <is>
          <t>Allston</t>
        </is>
      </c>
      <c r="C55" s="6" t="inlineStr">
        <is>
          <t>https://www.redfin.com/MA/Boston/4-Franklin-St-02134/unit-202/home/190592119</t>
        </is>
      </c>
      <c r="D55" s="3" t="n">
        <v>588000</v>
      </c>
      <c r="E55" s="3" t="n">
        <v>243</v>
      </c>
      <c r="F55" t="n">
        <v>1</v>
      </c>
      <c r="G55" t="n">
        <v>1</v>
      </c>
      <c r="H55" s="4" t="n">
        <v>641</v>
      </c>
      <c r="I55" t="inlineStr">
        <is>
          <t>No</t>
        </is>
      </c>
      <c r="J55" t="inlineStr">
        <is>
          <t>1 space</t>
        </is>
      </c>
      <c r="K55" s="3">
        <f>Assumptions!B3</f>
        <v/>
      </c>
      <c r="L55" s="3">
        <f>D55-K55</f>
        <v/>
      </c>
      <c r="M55" s="3">
        <f>-PMT(Assumptions!B2/12,Assumptions!B4*12,L55)</f>
        <v/>
      </c>
      <c r="N55" s="3">
        <f>D55*Assumptions!B5/12</f>
        <v/>
      </c>
      <c r="O55" s="3">
        <f>Assumptions!B6</f>
        <v/>
      </c>
      <c r="P55" s="3">
        <f>Assumptions!B7+Assumptions!B8</f>
        <v/>
      </c>
      <c r="Q55" s="3">
        <f>M55+E55+N55+O55+P55</f>
        <v/>
      </c>
      <c r="R55" s="3" t="n">
        <v>0</v>
      </c>
      <c r="S55" s="3">
        <f>Q55-R55</f>
        <v/>
      </c>
      <c r="T55" t="n">
        <v>1.4</v>
      </c>
      <c r="U55" t="n">
        <v>9.699999999999999</v>
      </c>
      <c r="V55" t="n">
        <v>9.300000000000001</v>
      </c>
      <c r="W55" s="7" t="n">
        <v>1.9</v>
      </c>
      <c r="X55" t="inlineStr">
        <is>
          <t>Yellow</t>
        </is>
      </c>
    </row>
    <row r="56">
      <c r="A56" s="8" t="inlineStr">
        <is>
          <t>148 Berkshire St Unit 148-4, Cambridge, MA 02141</t>
        </is>
      </c>
      <c r="B56" t="inlineStr">
        <is>
          <t>Cambridge</t>
        </is>
      </c>
      <c r="C56" s="6" t="inlineStr">
        <is>
          <t>https://www.redfin.com/MA/Cambridge/148-Berkshire-St-02141/unit-148-4/home/200523526</t>
        </is>
      </c>
      <c r="D56" s="3" t="n">
        <v>535000</v>
      </c>
      <c r="E56" s="3" t="n">
        <v>301</v>
      </c>
      <c r="F56" t="n">
        <v>1</v>
      </c>
      <c r="G56" t="n">
        <v>1</v>
      </c>
      <c r="H56" s="4" t="n">
        <v>530</v>
      </c>
      <c r="I56" t="inlineStr">
        <is>
          <t>No</t>
        </is>
      </c>
      <c r="J56" t="inlineStr">
        <is>
          <t>0 spaces</t>
        </is>
      </c>
      <c r="K56" s="3">
        <f>Assumptions!B3</f>
        <v/>
      </c>
      <c r="L56" s="3">
        <f>D56-K56</f>
        <v/>
      </c>
      <c r="M56" s="3">
        <f>-PMT(Assumptions!B2/12,Assumptions!B4*12,L56)</f>
        <v/>
      </c>
      <c r="N56" s="3">
        <f>D56*Assumptions!B5/12</f>
        <v/>
      </c>
      <c r="O56" s="3">
        <f>Assumptions!B6</f>
        <v/>
      </c>
      <c r="P56" s="3">
        <f>Assumptions!B7+Assumptions!B8</f>
        <v/>
      </c>
      <c r="Q56" s="3">
        <f>M56+E56+N56+O56+P56</f>
        <v/>
      </c>
      <c r="R56" s="3" t="n">
        <v>0</v>
      </c>
      <c r="S56" s="3">
        <f>Q56-R56</f>
        <v/>
      </c>
      <c r="T56" t="n">
        <v>3</v>
      </c>
      <c r="U56" t="n">
        <v>8.800000000000001</v>
      </c>
      <c r="V56" t="n">
        <v>3.8</v>
      </c>
      <c r="W56" s="7" t="n">
        <v>1.9</v>
      </c>
      <c r="X56" t="inlineStr">
        <is>
          <t>Yellow</t>
        </is>
      </c>
    </row>
    <row r="57">
      <c r="A57" s="8" t="inlineStr">
        <is>
          <t>111 Jersey St #15, Boston, MA 02215</t>
        </is>
      </c>
      <c r="B57" t="inlineStr">
        <is>
          <t>Brookline</t>
        </is>
      </c>
      <c r="C57" s="6" t="inlineStr">
        <is>
          <t>https://www.redfin.com/MA/Boston/111-Jersey-St-02215/unit-15/home/9317643</t>
        </is>
      </c>
      <c r="D57" s="3" t="n">
        <v>529000</v>
      </c>
      <c r="E57" s="3" t="n">
        <v>281</v>
      </c>
      <c r="F57" t="n">
        <v>1</v>
      </c>
      <c r="G57" t="n">
        <v>1</v>
      </c>
      <c r="H57" s="4" t="n">
        <v>395</v>
      </c>
      <c r="I57" t="inlineStr">
        <is>
          <t>No</t>
        </is>
      </c>
      <c r="J57" t="inlineStr">
        <is>
          <t>0 spaces</t>
        </is>
      </c>
      <c r="K57" s="3">
        <f>Assumptions!B3</f>
        <v/>
      </c>
      <c r="L57" s="3">
        <f>D57-K57</f>
        <v/>
      </c>
      <c r="M57" s="3">
        <f>-PMT(Assumptions!B2/12,Assumptions!B4*12,L57)</f>
        <v/>
      </c>
      <c r="N57" s="3">
        <f>D57*Assumptions!B5/12</f>
        <v/>
      </c>
      <c r="O57" s="3">
        <f>Assumptions!B6</f>
        <v/>
      </c>
      <c r="P57" s="3">
        <f>Assumptions!B7+Assumptions!B8</f>
        <v/>
      </c>
      <c r="Q57" s="3">
        <f>M57+E57+N57+O57+P57</f>
        <v/>
      </c>
      <c r="R57" s="3" t="n">
        <v>0</v>
      </c>
      <c r="S57" s="3">
        <f>Q57-R57</f>
        <v/>
      </c>
      <c r="T57" t="n">
        <v>1.1</v>
      </c>
      <c r="U57" t="n">
        <v>11.3</v>
      </c>
      <c r="V57" t="n">
        <v>8.4</v>
      </c>
      <c r="W57" s="7" t="n">
        <v>1.9</v>
      </c>
      <c r="X57" t="inlineStr">
        <is>
          <t>Yellow</t>
        </is>
      </c>
    </row>
    <row r="58">
      <c r="A58" s="8" t="inlineStr">
        <is>
          <t>390 Riverway #24, Boston, MA 02115</t>
        </is>
      </c>
      <c r="B58" t="inlineStr">
        <is>
          <t>Brookline</t>
        </is>
      </c>
      <c r="C58" s="6" t="inlineStr">
        <is>
          <t>https://www.redfin.com/MA/Boston/390-Riverway-02115/unit-24/home/11836823</t>
        </is>
      </c>
      <c r="D58" s="3" t="n">
        <v>479000</v>
      </c>
      <c r="E58" s="3" t="n">
        <v>423</v>
      </c>
      <c r="F58" t="n">
        <v>1</v>
      </c>
      <c r="G58" t="n">
        <v>1</v>
      </c>
      <c r="H58" s="4" t="n">
        <v>555</v>
      </c>
      <c r="I58" t="inlineStr">
        <is>
          <t>No</t>
        </is>
      </c>
      <c r="J58" t="inlineStr">
        <is>
          <t>0 spaces</t>
        </is>
      </c>
      <c r="K58" s="3">
        <f>Assumptions!B3</f>
        <v/>
      </c>
      <c r="L58" s="3">
        <f>D58-K58</f>
        <v/>
      </c>
      <c r="M58" s="3">
        <f>-PMT(Assumptions!B2/12,Assumptions!B4*12,L58)</f>
        <v/>
      </c>
      <c r="N58" s="3">
        <f>D58*Assumptions!B5/12</f>
        <v/>
      </c>
      <c r="O58" s="3">
        <f>Assumptions!B6</f>
        <v/>
      </c>
      <c r="P58" s="3">
        <f>Assumptions!B7+Assumptions!B8</f>
        <v/>
      </c>
      <c r="Q58" s="3">
        <f>M58+E58+N58+O58+P58</f>
        <v/>
      </c>
      <c r="R58" s="3" t="n">
        <v>0</v>
      </c>
      <c r="S58" s="3">
        <f>Q58-R58</f>
        <v/>
      </c>
      <c r="T58" t="n">
        <v>1</v>
      </c>
      <c r="U58" t="n">
        <v>13.6</v>
      </c>
      <c r="V58" t="n">
        <v>12</v>
      </c>
      <c r="W58" s="7" t="n">
        <v>1.9</v>
      </c>
      <c r="X58" t="inlineStr">
        <is>
          <t>Yellow</t>
        </is>
      </c>
    </row>
    <row r="59">
      <c r="A59" s="8" t="inlineStr">
        <is>
          <t>388 Washington St #101, Quincy, MA 02169</t>
        </is>
      </c>
      <c r="B59" t="inlineStr">
        <is>
          <t>Quincy</t>
        </is>
      </c>
      <c r="C59" s="6" t="inlineStr">
        <is>
          <t>https://www.redfin.com/MA/Quincy/388-Washington-St-02169/unit-101/home/200568725</t>
        </is>
      </c>
      <c r="D59" s="3" t="n">
        <v>599000</v>
      </c>
      <c r="E59" s="3" t="n">
        <v>375</v>
      </c>
      <c r="F59" t="n">
        <v>2</v>
      </c>
      <c r="G59" t="n">
        <v>2</v>
      </c>
      <c r="H59" s="4" t="n">
        <v>983</v>
      </c>
      <c r="I59" t="inlineStr">
        <is>
          <t>No</t>
        </is>
      </c>
      <c r="J59" t="inlineStr">
        <is>
          <t>1 space</t>
        </is>
      </c>
      <c r="K59" s="3">
        <f>Assumptions!B3</f>
        <v/>
      </c>
      <c r="L59" s="3">
        <f>D59-K59</f>
        <v/>
      </c>
      <c r="M59" s="3">
        <f>-PMT(Assumptions!B2/12,Assumptions!B4*12,L59)</f>
        <v/>
      </c>
      <c r="N59" s="3">
        <f>D59*Assumptions!B5/12</f>
        <v/>
      </c>
      <c r="O59" s="3">
        <f>Assumptions!B6</f>
        <v/>
      </c>
      <c r="P59" s="3">
        <f>Assumptions!B7+Assumptions!B8</f>
        <v/>
      </c>
      <c r="Q59" s="3">
        <f>M59+E59+N59+O59+P59</f>
        <v/>
      </c>
      <c r="R59" s="3" t="n">
        <v>1170</v>
      </c>
      <c r="S59" s="3">
        <f>Q59-R59</f>
        <v/>
      </c>
      <c r="T59" t="n">
        <v>2.7</v>
      </c>
      <c r="U59" t="n">
        <v>18.8</v>
      </c>
      <c r="V59" t="n">
        <v>22.9</v>
      </c>
      <c r="W59" s="7" t="n">
        <v>1.85</v>
      </c>
      <c r="X59" t="inlineStr">
        <is>
          <t>Yellow</t>
        </is>
      </c>
    </row>
    <row r="60">
      <c r="A60" s="8" t="inlineStr">
        <is>
          <t>20 Whitney Unit U:1, Quincy, MA 02169</t>
        </is>
      </c>
      <c r="B60" t="inlineStr">
        <is>
          <t>Quincy</t>
        </is>
      </c>
      <c r="C60" s="6" t="inlineStr">
        <is>
          <t>https://www.redfin.com/MA/Quincy/20-Whitney-Rd-02169/unit-U-1/home/200248173</t>
        </is>
      </c>
      <c r="D60" s="3" t="n">
        <v>499000</v>
      </c>
      <c r="E60" s="3" t="n">
        <v>200</v>
      </c>
      <c r="F60" t="n">
        <v>1</v>
      </c>
      <c r="G60" t="n">
        <v>1</v>
      </c>
      <c r="H60" s="4" t="n">
        <v>638</v>
      </c>
      <c r="I60" t="inlineStr">
        <is>
          <t>No</t>
        </is>
      </c>
      <c r="J60" t="inlineStr">
        <is>
          <t>1 space</t>
        </is>
      </c>
      <c r="K60" s="3">
        <f>Assumptions!B3</f>
        <v/>
      </c>
      <c r="L60" s="3">
        <f>D60-K60</f>
        <v/>
      </c>
      <c r="M60" s="3">
        <f>-PMT(Assumptions!B2/12,Assumptions!B4*12,L60)</f>
        <v/>
      </c>
      <c r="N60" s="3">
        <f>D60*Assumptions!B5/12</f>
        <v/>
      </c>
      <c r="O60" s="3">
        <f>Assumptions!B6</f>
        <v/>
      </c>
      <c r="P60" s="3">
        <f>Assumptions!B7+Assumptions!B8</f>
        <v/>
      </c>
      <c r="Q60" s="3">
        <f>M60+E60+N60+O60+P60</f>
        <v/>
      </c>
      <c r="R60" s="3" t="n">
        <v>0</v>
      </c>
      <c r="S60" s="3">
        <f>Q60-R60</f>
        <v/>
      </c>
      <c r="T60" t="n">
        <v>1.4</v>
      </c>
      <c r="U60" t="n">
        <v>17.1</v>
      </c>
      <c r="V60" t="n">
        <v>21.2</v>
      </c>
      <c r="W60" s="7" t="n">
        <v>1.85</v>
      </c>
      <c r="X60" t="inlineStr">
        <is>
          <t>Yellow</t>
        </is>
      </c>
    </row>
    <row r="61">
      <c r="A61" s="8" t="inlineStr">
        <is>
          <t>20 Whitney Rd #101, Quincy, MA 02169</t>
        </is>
      </c>
      <c r="B61" t="inlineStr">
        <is>
          <t>Quincy</t>
        </is>
      </c>
      <c r="C61" s="6" t="inlineStr">
        <is>
          <t>https://www.redfin.com/MA/Quincy/20-Whitney-Rd-02169/unit-101/home/196906729</t>
        </is>
      </c>
      <c r="D61" s="3" t="n">
        <v>499000</v>
      </c>
      <c r="E61" s="3" t="n">
        <v>0</v>
      </c>
      <c r="F61" t="n">
        <v>1</v>
      </c>
      <c r="G61" t="n">
        <v>1</v>
      </c>
      <c r="H61" s="4" t="n">
        <v>575</v>
      </c>
      <c r="I61" t="inlineStr">
        <is>
          <t>No</t>
        </is>
      </c>
      <c r="J61" t="inlineStr">
        <is>
          <t>Unknown</t>
        </is>
      </c>
      <c r="K61" s="3">
        <f>Assumptions!B3</f>
        <v/>
      </c>
      <c r="L61" s="3">
        <f>D61-K61</f>
        <v/>
      </c>
      <c r="M61" s="3">
        <f>-PMT(Assumptions!B2/12,Assumptions!B4*12,L61)</f>
        <v/>
      </c>
      <c r="N61" s="3">
        <f>D61*Assumptions!B5/12</f>
        <v/>
      </c>
      <c r="O61" s="3">
        <f>Assumptions!B6</f>
        <v/>
      </c>
      <c r="P61" s="3">
        <f>Assumptions!B7+Assumptions!B8</f>
        <v/>
      </c>
      <c r="Q61" s="3">
        <f>M61+E61+N61+O61+P61</f>
        <v/>
      </c>
      <c r="R61" s="3" t="n">
        <v>0</v>
      </c>
      <c r="S61" s="3">
        <f>Q61-R61</f>
        <v/>
      </c>
      <c r="T61" t="n">
        <v>1.4</v>
      </c>
      <c r="U61" t="n">
        <v>17.1</v>
      </c>
      <c r="V61" t="n">
        <v>21.2</v>
      </c>
      <c r="W61" s="7" t="n">
        <v>1.85</v>
      </c>
      <c r="X61" t="inlineStr">
        <is>
          <t>Yellow</t>
        </is>
      </c>
    </row>
    <row r="62">
      <c r="A62" s="8" t="inlineStr">
        <is>
          <t>10 Hammond Pond Pkwy #606, Chestnut Hill, MA 02467</t>
        </is>
      </c>
      <c r="B62" t="inlineStr">
        <is>
          <t>Newton</t>
        </is>
      </c>
      <c r="C62" s="6" t="inlineStr">
        <is>
          <t>https://www.redfin.com/MA/Chestnut-Hill/10-Hammond-Pond-Pkwy-02467/unit-606/home/11481942</t>
        </is>
      </c>
      <c r="D62" s="3" t="n">
        <v>359000</v>
      </c>
      <c r="E62" s="3" t="n">
        <v>459</v>
      </c>
      <c r="F62" t="n">
        <v>0</v>
      </c>
      <c r="G62" t="n">
        <v>1</v>
      </c>
      <c r="H62" s="4" t="n">
        <v>508</v>
      </c>
      <c r="I62" t="inlineStr">
        <is>
          <t>No</t>
        </is>
      </c>
      <c r="J62" t="inlineStr">
        <is>
          <t>1 space</t>
        </is>
      </c>
      <c r="K62" s="3">
        <f>Assumptions!B3</f>
        <v/>
      </c>
      <c r="L62" s="3">
        <f>D62-K62</f>
        <v/>
      </c>
      <c r="M62" s="3">
        <f>-PMT(Assumptions!B2/12,Assumptions!B4*12,L62)</f>
        <v/>
      </c>
      <c r="N62" s="3">
        <f>D62*Assumptions!B5/12</f>
        <v/>
      </c>
      <c r="O62" s="3">
        <f>Assumptions!B6</f>
        <v/>
      </c>
      <c r="P62" s="3">
        <f>Assumptions!B7+Assumptions!B8</f>
        <v/>
      </c>
      <c r="Q62" s="3">
        <f>M62+E62+N62+O62+P62</f>
        <v/>
      </c>
      <c r="R62" s="3" t="n">
        <v>0</v>
      </c>
      <c r="S62" s="3">
        <f>Q62-R62</f>
        <v/>
      </c>
      <c r="T62" t="n">
        <v>3.7</v>
      </c>
      <c r="U62" t="n">
        <v>21.4</v>
      </c>
      <c r="V62" t="n">
        <v>19.4</v>
      </c>
      <c r="W62" s="7" t="n">
        <v>1.85</v>
      </c>
      <c r="X62" t="inlineStr">
        <is>
          <t>Yellow</t>
        </is>
      </c>
    </row>
    <row r="63">
      <c r="A63" s="8" t="inlineStr">
        <is>
          <t>56 Ralph St #3, Watertown, MA 02472</t>
        </is>
      </c>
      <c r="B63" t="inlineStr">
        <is>
          <t>Watertown</t>
        </is>
      </c>
      <c r="C63" s="6" t="inlineStr">
        <is>
          <t>https://www.redfin.com/MA/Watertown/56-Ralph-St-02472/unit-3/home/57314411</t>
        </is>
      </c>
      <c r="D63" s="3" t="n">
        <v>474900</v>
      </c>
      <c r="E63" s="3" t="n">
        <v>183</v>
      </c>
      <c r="F63" t="n">
        <v>1</v>
      </c>
      <c r="G63" t="n">
        <v>1</v>
      </c>
      <c r="H63" s="4" t="n">
        <v>983</v>
      </c>
      <c r="I63" t="inlineStr">
        <is>
          <t>No</t>
        </is>
      </c>
      <c r="J63" t="inlineStr">
        <is>
          <t>2 spaces</t>
        </is>
      </c>
      <c r="K63" s="3">
        <f>Assumptions!B3</f>
        <v/>
      </c>
      <c r="L63" s="3">
        <f>D63-K63</f>
        <v/>
      </c>
      <c r="M63" s="3">
        <f>-PMT(Assumptions!B2/12,Assumptions!B4*12,L63)</f>
        <v/>
      </c>
      <c r="N63" s="3">
        <f>D63*Assumptions!B5/12</f>
        <v/>
      </c>
      <c r="O63" s="3">
        <f>Assumptions!B6</f>
        <v/>
      </c>
      <c r="P63" s="3">
        <f>Assumptions!B7+Assumptions!B8</f>
        <v/>
      </c>
      <c r="Q63" s="3">
        <f>M63+E63+N63+O63+P63</f>
        <v/>
      </c>
      <c r="R63" s="3" t="n">
        <v>0</v>
      </c>
      <c r="S63" s="3">
        <f>Q63-R63</f>
        <v/>
      </c>
      <c r="T63" t="n">
        <v>8.9</v>
      </c>
      <c r="U63" t="n">
        <v>18.8</v>
      </c>
      <c r="V63" t="n">
        <v>16.4</v>
      </c>
      <c r="W63" s="7" t="n">
        <v>1.85</v>
      </c>
      <c r="X63" t="inlineStr">
        <is>
          <t>Yellow</t>
        </is>
      </c>
    </row>
    <row r="64">
      <c r="A64" s="8" t="inlineStr">
        <is>
          <t>60 Sutherland Rd #4, Brighton, MA 02135</t>
        </is>
      </c>
      <c r="B64" t="inlineStr">
        <is>
          <t>Brighton</t>
        </is>
      </c>
      <c r="C64" s="6" t="inlineStr">
        <is>
          <t>https://www.redfin.com/MA/Brighton/60-Sutherland-Rd-02135/unit-4/home/9026345</t>
        </is>
      </c>
      <c r="D64" s="3" t="n">
        <v>585000</v>
      </c>
      <c r="E64" s="3" t="n">
        <v>492</v>
      </c>
      <c r="F64" t="n">
        <v>2</v>
      </c>
      <c r="G64" t="n">
        <v>1</v>
      </c>
      <c r="H64" s="4" t="n">
        <v>877</v>
      </c>
      <c r="I64" t="inlineStr">
        <is>
          <t>No</t>
        </is>
      </c>
      <c r="J64" t="inlineStr">
        <is>
          <t>1 space</t>
        </is>
      </c>
      <c r="K64" s="3">
        <f>Assumptions!B3</f>
        <v/>
      </c>
      <c r="L64" s="3">
        <f>D64-K64</f>
        <v/>
      </c>
      <c r="M64" s="3">
        <f>-PMT(Assumptions!B2/12,Assumptions!B4*12,L64)</f>
        <v/>
      </c>
      <c r="N64" s="3">
        <f>D64*Assumptions!B5/12</f>
        <v/>
      </c>
      <c r="O64" s="3">
        <f>Assumptions!B6</f>
        <v/>
      </c>
      <c r="P64" s="3">
        <f>Assumptions!B7+Assumptions!B8</f>
        <v/>
      </c>
      <c r="Q64" s="3">
        <f>M64+E64+N64+O64+P64</f>
        <v/>
      </c>
      <c r="R64" s="3" t="n">
        <v>1300</v>
      </c>
      <c r="S64" s="3">
        <f>Q64-R64</f>
        <v/>
      </c>
      <c r="T64" t="n">
        <v>0.8</v>
      </c>
      <c r="U64" t="n">
        <v>15.3</v>
      </c>
      <c r="V64" t="n">
        <v>13.6</v>
      </c>
      <c r="W64" s="7" t="n">
        <v>1.85</v>
      </c>
      <c r="X64" t="inlineStr">
        <is>
          <t>Yellow</t>
        </is>
      </c>
    </row>
    <row r="65">
      <c r="A65" s="8" t="inlineStr">
        <is>
          <t>1945 Commonwealth Ave #4, Brighton, MA 02135</t>
        </is>
      </c>
      <c r="B65" t="inlineStr">
        <is>
          <t>Brighton</t>
        </is>
      </c>
      <c r="C65" s="6" t="inlineStr">
        <is>
          <t>https://www.redfin.com/MA/Brighton/1945-Commonwealth-Ave-02135/unit-4/home/9242382</t>
        </is>
      </c>
      <c r="D65" s="3" t="n">
        <v>439000</v>
      </c>
      <c r="E65" s="3" t="n">
        <v>364</v>
      </c>
      <c r="F65" t="n">
        <v>1</v>
      </c>
      <c r="G65" t="n">
        <v>1</v>
      </c>
      <c r="H65" s="4" t="n">
        <v>605</v>
      </c>
      <c r="I65" t="inlineStr">
        <is>
          <t>No</t>
        </is>
      </c>
      <c r="J65" t="inlineStr">
        <is>
          <t>0 spaces</t>
        </is>
      </c>
      <c r="K65" s="3">
        <f>Assumptions!B3</f>
        <v/>
      </c>
      <c r="L65" s="3">
        <f>D65-K65</f>
        <v/>
      </c>
      <c r="M65" s="3">
        <f>-PMT(Assumptions!B2/12,Assumptions!B4*12,L65)</f>
        <v/>
      </c>
      <c r="N65" s="3">
        <f>D65*Assumptions!B5/12</f>
        <v/>
      </c>
      <c r="O65" s="3">
        <f>Assumptions!B6</f>
        <v/>
      </c>
      <c r="P65" s="3">
        <f>Assumptions!B7+Assumptions!B8</f>
        <v/>
      </c>
      <c r="Q65" s="3">
        <f>M65+E65+N65+O65+P65</f>
        <v/>
      </c>
      <c r="R65" s="3" t="n">
        <v>0</v>
      </c>
      <c r="S65" s="3">
        <f>Q65-R65</f>
        <v/>
      </c>
      <c r="T65" t="n">
        <v>1.8</v>
      </c>
      <c r="U65" t="n">
        <v>16.7</v>
      </c>
      <c r="V65" t="n">
        <v>15</v>
      </c>
      <c r="W65" s="7" t="n">
        <v>1.85</v>
      </c>
      <c r="X65" t="inlineStr">
        <is>
          <t>Yellow</t>
        </is>
      </c>
    </row>
    <row r="66">
      <c r="A66" s="8" t="inlineStr">
        <is>
          <t>26 Chiswick Rd #6, Brighton, MA 02135</t>
        </is>
      </c>
      <c r="B66" t="inlineStr">
        <is>
          <t>Brighton</t>
        </is>
      </c>
      <c r="C66" s="6" t="inlineStr">
        <is>
          <t>https://www.redfin.com/MA/Brighton/26-Chiswick-Rd-02135/unit-6/home/9026723</t>
        </is>
      </c>
      <c r="D66" s="3" t="n">
        <v>368000</v>
      </c>
      <c r="E66" s="3" t="n">
        <v>472</v>
      </c>
      <c r="F66" t="n">
        <v>1</v>
      </c>
      <c r="G66" t="n">
        <v>1</v>
      </c>
      <c r="H66" s="4" t="n">
        <v>470</v>
      </c>
      <c r="I66" t="inlineStr">
        <is>
          <t>No</t>
        </is>
      </c>
      <c r="J66" t="inlineStr">
        <is>
          <t>0 spaces</t>
        </is>
      </c>
      <c r="K66" s="3">
        <f>Assumptions!B3</f>
        <v/>
      </c>
      <c r="L66" s="3">
        <f>D66-K66</f>
        <v/>
      </c>
      <c r="M66" s="3">
        <f>-PMT(Assumptions!B2/12,Assumptions!B4*12,L66)</f>
        <v/>
      </c>
      <c r="N66" s="3">
        <f>D66*Assumptions!B5/12</f>
        <v/>
      </c>
      <c r="O66" s="3">
        <f>Assumptions!B6</f>
        <v/>
      </c>
      <c r="P66" s="3">
        <f>Assumptions!B7+Assumptions!B8</f>
        <v/>
      </c>
      <c r="Q66" s="3">
        <f>M66+E66+N66+O66+P66</f>
        <v/>
      </c>
      <c r="R66" s="3" t="n">
        <v>0</v>
      </c>
      <c r="S66" s="3">
        <f>Q66-R66</f>
        <v/>
      </c>
      <c r="T66" t="n">
        <v>1.4</v>
      </c>
      <c r="U66" t="n">
        <v>15.6</v>
      </c>
      <c r="V66" t="n">
        <v>13.8</v>
      </c>
      <c r="W66" s="7" t="n">
        <v>1.85</v>
      </c>
      <c r="X66" t="inlineStr">
        <is>
          <t>Yellow</t>
        </is>
      </c>
    </row>
    <row r="67">
      <c r="A67" s="8" t="inlineStr">
        <is>
          <t>9 Henry St #9, Belmont, MA 02478</t>
        </is>
      </c>
      <c r="B67" t="inlineStr">
        <is>
          <t>Belmont</t>
        </is>
      </c>
      <c r="C67" s="6" t="inlineStr">
        <is>
          <t>https://www.redfin.com/MA/Belmont/9-Henry-St-02478/unit-9/home/77513972</t>
        </is>
      </c>
      <c r="D67" s="3" t="n">
        <v>575000</v>
      </c>
      <c r="E67" s="3" t="n">
        <v>200</v>
      </c>
      <c r="F67" t="n">
        <v>2</v>
      </c>
      <c r="G67" t="n">
        <v>1</v>
      </c>
      <c r="H67" s="4" t="n">
        <v>724</v>
      </c>
      <c r="I67" t="inlineStr">
        <is>
          <t>No</t>
        </is>
      </c>
      <c r="J67" t="inlineStr">
        <is>
          <t>2 spaces</t>
        </is>
      </c>
      <c r="K67" s="3">
        <f>Assumptions!B3</f>
        <v/>
      </c>
      <c r="L67" s="3">
        <f>D67-K67</f>
        <v/>
      </c>
      <c r="M67" s="3">
        <f>-PMT(Assumptions!B2/12,Assumptions!B4*12,L67)</f>
        <v/>
      </c>
      <c r="N67" s="3">
        <f>D67*Assumptions!B5/12</f>
        <v/>
      </c>
      <c r="O67" s="3">
        <f>Assumptions!B6</f>
        <v/>
      </c>
      <c r="P67" s="3">
        <f>Assumptions!B7+Assumptions!B8</f>
        <v/>
      </c>
      <c r="Q67" s="3">
        <f>M67+E67+N67+O67+P67</f>
        <v/>
      </c>
      <c r="R67" s="3" t="n">
        <v>1365</v>
      </c>
      <c r="S67" s="3">
        <f>Q67-R67</f>
        <v/>
      </c>
      <c r="T67" t="n">
        <v>7.3</v>
      </c>
      <c r="U67" t="n">
        <v>18.8</v>
      </c>
      <c r="V67" t="n">
        <v>16.4</v>
      </c>
      <c r="W67" s="7" t="n">
        <v>1.85</v>
      </c>
      <c r="X67" t="inlineStr">
        <is>
          <t>Yellow</t>
        </is>
      </c>
    </row>
    <row r="68">
      <c r="A68" s="8" t="inlineStr">
        <is>
          <t>99 Tremont St #105, Brighton, MA 02135</t>
        </is>
      </c>
      <c r="B68" t="inlineStr">
        <is>
          <t>Watertown</t>
        </is>
      </c>
      <c r="C68" s="6" t="inlineStr">
        <is>
          <t>https://www.redfin.com/MA/Brighton/99-Tremont-St-02135/unit-105/home/144873670</t>
        </is>
      </c>
      <c r="D68" s="3" t="n">
        <v>520000</v>
      </c>
      <c r="E68" s="3" t="n">
        <v>437</v>
      </c>
      <c r="F68" t="n">
        <v>0</v>
      </c>
      <c r="G68" t="n">
        <v>1</v>
      </c>
      <c r="H68" s="4" t="n">
        <v>616</v>
      </c>
      <c r="I68" t="inlineStr">
        <is>
          <t>No</t>
        </is>
      </c>
      <c r="J68" t="inlineStr">
        <is>
          <t>1 space</t>
        </is>
      </c>
      <c r="K68" s="3">
        <f>Assumptions!B3</f>
        <v/>
      </c>
      <c r="L68" s="3">
        <f>D68-K68</f>
        <v/>
      </c>
      <c r="M68" s="3">
        <f>-PMT(Assumptions!B2/12,Assumptions!B4*12,L68)</f>
        <v/>
      </c>
      <c r="N68" s="3">
        <f>D68*Assumptions!B5/12</f>
        <v/>
      </c>
      <c r="O68" s="3">
        <f>Assumptions!B6</f>
        <v/>
      </c>
      <c r="P68" s="3">
        <f>Assumptions!B7+Assumptions!B8</f>
        <v/>
      </c>
      <c r="Q68" s="3">
        <f>M68+E68+N68+O68+P68</f>
        <v/>
      </c>
      <c r="R68" s="3" t="n">
        <v>0</v>
      </c>
      <c r="S68" s="3">
        <f>Q68-R68</f>
        <v/>
      </c>
      <c r="T68" t="n">
        <v>6.1</v>
      </c>
      <c r="U68" t="n">
        <v>14.2</v>
      </c>
      <c r="V68" t="n">
        <v>14.7</v>
      </c>
      <c r="W68" s="7" t="n">
        <v>1.8</v>
      </c>
      <c r="X68" t="inlineStr">
        <is>
          <t>Yellow</t>
        </is>
      </c>
    </row>
    <row r="69">
      <c r="A69" s="8" t="inlineStr">
        <is>
          <t>191 Washington St #317, Boston, MA 02135</t>
        </is>
      </c>
      <c r="B69" t="inlineStr">
        <is>
          <t>Brighton</t>
        </is>
      </c>
      <c r="C69" s="6" t="inlineStr">
        <is>
          <t>https://www.redfin.com/MA/Boston/191-Washington-St-02135/unit-317/home/176134081</t>
        </is>
      </c>
      <c r="D69" s="3" t="n">
        <v>535000</v>
      </c>
      <c r="E69" s="3" t="n">
        <v>457</v>
      </c>
      <c r="F69" t="n">
        <v>1</v>
      </c>
      <c r="G69" t="n">
        <v>1</v>
      </c>
      <c r="H69" s="4" t="n">
        <v>498</v>
      </c>
      <c r="I69" t="inlineStr">
        <is>
          <t>No</t>
        </is>
      </c>
      <c r="J69" t="inlineStr">
        <is>
          <t>0 spaces</t>
        </is>
      </c>
      <c r="K69" s="3">
        <f>Assumptions!B3</f>
        <v/>
      </c>
      <c r="L69" s="3">
        <f>D69-K69</f>
        <v/>
      </c>
      <c r="M69" s="3">
        <f>-PMT(Assumptions!B2/12,Assumptions!B4*12,L69)</f>
        <v/>
      </c>
      <c r="N69" s="3">
        <f>D69*Assumptions!B5/12</f>
        <v/>
      </c>
      <c r="O69" s="3">
        <f>Assumptions!B6</f>
        <v/>
      </c>
      <c r="P69" s="3">
        <f>Assumptions!B7+Assumptions!B8</f>
        <v/>
      </c>
      <c r="Q69" s="3">
        <f>M69+E69+N69+O69+P69</f>
        <v/>
      </c>
      <c r="R69" s="3" t="n">
        <v>0</v>
      </c>
      <c r="S69" s="3">
        <f>Q69-R69</f>
        <v/>
      </c>
      <c r="T69" t="n">
        <v>1.3</v>
      </c>
      <c r="U69" t="n">
        <v>13.8</v>
      </c>
      <c r="V69" t="n">
        <v>13.4</v>
      </c>
      <c r="W69" s="7" t="n">
        <v>1.8</v>
      </c>
      <c r="X69" t="inlineStr">
        <is>
          <t>Yellow</t>
        </is>
      </c>
    </row>
    <row r="70">
      <c r="A70" s="8" t="inlineStr">
        <is>
          <t>863 Massachusetts Ave #25, Cambridge, MA 02139</t>
        </is>
      </c>
      <c r="B70" t="inlineStr">
        <is>
          <t>Cambridge</t>
        </is>
      </c>
      <c r="C70" s="6" t="inlineStr">
        <is>
          <t>https://www.redfin.com/MA/Cambridge/863-Massachusetts-Ave-02139/unit-25/home/11566175</t>
        </is>
      </c>
      <c r="D70" s="3" t="n">
        <v>549000</v>
      </c>
      <c r="E70" s="3" t="n">
        <v>433</v>
      </c>
      <c r="F70" t="n">
        <v>1</v>
      </c>
      <c r="G70" t="n">
        <v>1</v>
      </c>
      <c r="H70" s="4" t="n">
        <v>450</v>
      </c>
      <c r="I70" t="inlineStr">
        <is>
          <t>No</t>
        </is>
      </c>
      <c r="J70" t="inlineStr">
        <is>
          <t>0 spaces</t>
        </is>
      </c>
      <c r="K70" s="3">
        <f>Assumptions!B3</f>
        <v/>
      </c>
      <c r="L70" s="3">
        <f>D70-K70</f>
        <v/>
      </c>
      <c r="M70" s="3">
        <f>-PMT(Assumptions!B2/12,Assumptions!B4*12,L70)</f>
        <v/>
      </c>
      <c r="N70" s="3">
        <f>D70*Assumptions!B5/12</f>
        <v/>
      </c>
      <c r="O70" s="3">
        <f>Assumptions!B6</f>
        <v/>
      </c>
      <c r="P70" s="3">
        <f>Assumptions!B7+Assumptions!B8</f>
        <v/>
      </c>
      <c r="Q70" s="3">
        <f>M70+E70+N70+O70+P70</f>
        <v/>
      </c>
      <c r="R70" s="3" t="n">
        <v>0</v>
      </c>
      <c r="S70" s="3">
        <f>Q70-R70</f>
        <v/>
      </c>
      <c r="T70" t="n">
        <v>1</v>
      </c>
      <c r="U70" t="n">
        <v>12.1</v>
      </c>
      <c r="V70" t="n">
        <v>5.6</v>
      </c>
      <c r="W70" s="7" t="n">
        <v>1.8</v>
      </c>
      <c r="X70" t="inlineStr">
        <is>
          <t>Yellow</t>
        </is>
      </c>
    </row>
    <row r="71">
      <c r="A71" s="8" t="inlineStr">
        <is>
          <t>585 Washington St #202, Quincy, MA 02169</t>
        </is>
      </c>
      <c r="B71" t="inlineStr">
        <is>
          <t>Quincy</t>
        </is>
      </c>
      <c r="C71" s="6" t="inlineStr">
        <is>
          <t>https://www.redfin.com/MA/Quincy/585-Washington-St-02169/unit-202/home/200582027</t>
        </is>
      </c>
      <c r="D71" s="3" t="n">
        <v>600000</v>
      </c>
      <c r="E71" s="3" t="n">
        <v>250</v>
      </c>
      <c r="F71" t="n">
        <v>2</v>
      </c>
      <c r="G71" t="n">
        <v>2</v>
      </c>
      <c r="H71" s="4" t="n">
        <v>1203</v>
      </c>
      <c r="I71" t="inlineStr">
        <is>
          <t>No</t>
        </is>
      </c>
      <c r="J71" t="inlineStr">
        <is>
          <t>1 space</t>
        </is>
      </c>
      <c r="K71" s="3">
        <f>Assumptions!B3</f>
        <v/>
      </c>
      <c r="L71" s="3">
        <f>D71-K71</f>
        <v/>
      </c>
      <c r="M71" s="3">
        <f>-PMT(Assumptions!B2/12,Assumptions!B4*12,L71)</f>
        <v/>
      </c>
      <c r="N71" s="3">
        <f>D71*Assumptions!B5/12</f>
        <v/>
      </c>
      <c r="O71" s="3">
        <f>Assumptions!B6</f>
        <v/>
      </c>
      <c r="P71" s="3">
        <f>Assumptions!B7+Assumptions!B8</f>
        <v/>
      </c>
      <c r="Q71" s="3">
        <f>M71+E71+N71+O71+P71</f>
        <v/>
      </c>
      <c r="R71" s="3" t="n">
        <v>1170</v>
      </c>
      <c r="S71" s="3">
        <f>Q71-R71</f>
        <v/>
      </c>
      <c r="T71" t="n">
        <v>3.5</v>
      </c>
      <c r="U71" t="n">
        <v>19.7</v>
      </c>
      <c r="V71" t="n">
        <v>23.7</v>
      </c>
      <c r="W71" s="7" t="n">
        <v>1.75</v>
      </c>
      <c r="X71" t="inlineStr">
        <is>
          <t>Yellow</t>
        </is>
      </c>
    </row>
    <row r="72">
      <c r="A72" s="8" t="inlineStr">
        <is>
          <t>87 Franklin St #105, Quincy, MA 02169</t>
        </is>
      </c>
      <c r="B72" t="inlineStr">
        <is>
          <t>Quincy</t>
        </is>
      </c>
      <c r="C72" s="6" t="inlineStr">
        <is>
          <t>https://www.redfin.com/MA/Quincy/87-Franklin-St-02169/unit-105/home/9037092</t>
        </is>
      </c>
      <c r="D72" s="3" t="n">
        <v>544900</v>
      </c>
      <c r="E72" s="3" t="n">
        <v>322</v>
      </c>
      <c r="F72" t="n">
        <v>2</v>
      </c>
      <c r="G72" t="n">
        <v>2</v>
      </c>
      <c r="H72" s="4" t="n">
        <v>1218</v>
      </c>
      <c r="I72" t="inlineStr">
        <is>
          <t>No</t>
        </is>
      </c>
      <c r="J72" t="inlineStr">
        <is>
          <t>2 spaces</t>
        </is>
      </c>
      <c r="K72" s="3">
        <f>Assumptions!B3</f>
        <v/>
      </c>
      <c r="L72" s="3">
        <f>D72-K72</f>
        <v/>
      </c>
      <c r="M72" s="3">
        <f>-PMT(Assumptions!B2/12,Assumptions!B4*12,L72)</f>
        <v/>
      </c>
      <c r="N72" s="3">
        <f>D72*Assumptions!B5/12</f>
        <v/>
      </c>
      <c r="O72" s="3">
        <f>Assumptions!B6</f>
        <v/>
      </c>
      <c r="P72" s="3">
        <f>Assumptions!B7+Assumptions!B8</f>
        <v/>
      </c>
      <c r="Q72" s="3">
        <f>M72+E72+N72+O72+P72</f>
        <v/>
      </c>
      <c r="R72" s="3" t="n">
        <v>1170</v>
      </c>
      <c r="S72" s="3">
        <f>Q72-R72</f>
        <v/>
      </c>
      <c r="W72" s="7" t="n">
        <v>1.75</v>
      </c>
      <c r="X72" t="inlineStr">
        <is>
          <t>Yellow</t>
        </is>
      </c>
    </row>
    <row r="73">
      <c r="A73" s="8" t="inlineStr">
        <is>
          <t>21 Totman St #203, Quincy, MA 02169</t>
        </is>
      </c>
      <c r="B73" t="inlineStr">
        <is>
          <t>Quincy</t>
        </is>
      </c>
      <c r="C73" s="6" t="inlineStr">
        <is>
          <t>https://www.redfin.com/MA/Quincy/21-Totman-St-02169/unit-203/home/199494634</t>
        </is>
      </c>
      <c r="D73" s="3" t="n">
        <v>474900</v>
      </c>
      <c r="E73" s="3" t="n">
        <v>312</v>
      </c>
      <c r="F73" t="n">
        <v>1</v>
      </c>
      <c r="G73" t="n">
        <v>1</v>
      </c>
      <c r="H73" s="4" t="n">
        <v>679</v>
      </c>
      <c r="I73" t="inlineStr">
        <is>
          <t>No</t>
        </is>
      </c>
      <c r="J73" t="inlineStr">
        <is>
          <t>1 space</t>
        </is>
      </c>
      <c r="K73" s="3">
        <f>Assumptions!B3</f>
        <v/>
      </c>
      <c r="L73" s="3">
        <f>D73-K73</f>
        <v/>
      </c>
      <c r="M73" s="3">
        <f>-PMT(Assumptions!B2/12,Assumptions!B4*12,L73)</f>
        <v/>
      </c>
      <c r="N73" s="3">
        <f>D73*Assumptions!B5/12</f>
        <v/>
      </c>
      <c r="O73" s="3">
        <f>Assumptions!B6</f>
        <v/>
      </c>
      <c r="P73" s="3">
        <f>Assumptions!B7+Assumptions!B8</f>
        <v/>
      </c>
      <c r="Q73" s="3">
        <f>M73+E73+N73+O73+P73</f>
        <v/>
      </c>
      <c r="R73" s="3" t="n">
        <v>0</v>
      </c>
      <c r="S73" s="3">
        <f>Q73-R73</f>
        <v/>
      </c>
      <c r="T73" t="n">
        <v>2.3</v>
      </c>
      <c r="U73" t="n">
        <v>18.3</v>
      </c>
      <c r="V73" t="n">
        <v>22.4</v>
      </c>
      <c r="W73" s="7" t="n">
        <v>1.75</v>
      </c>
      <c r="X73" t="inlineStr">
        <is>
          <t>Yellow</t>
        </is>
      </c>
    </row>
    <row r="74">
      <c r="A74" s="8" t="inlineStr">
        <is>
          <t>15 Colliston Rd #6, Brighton, MA 02135</t>
        </is>
      </c>
      <c r="B74" t="inlineStr">
        <is>
          <t>Brighton</t>
        </is>
      </c>
      <c r="C74" s="6" t="inlineStr">
        <is>
          <t>https://www.redfin.com/MA/Brighton/15-Colliston-Rd-02135/unit-6/home/9004520</t>
        </is>
      </c>
      <c r="D74" s="3" t="n">
        <v>450000</v>
      </c>
      <c r="E74" s="3" t="n">
        <v>425</v>
      </c>
      <c r="F74" t="n">
        <v>1</v>
      </c>
      <c r="G74" t="n">
        <v>1</v>
      </c>
      <c r="H74" s="4" t="n">
        <v>577</v>
      </c>
      <c r="I74" t="inlineStr">
        <is>
          <t>No</t>
        </is>
      </c>
      <c r="J74" t="inlineStr">
        <is>
          <t>0 spaces</t>
        </is>
      </c>
      <c r="K74" s="3">
        <f>Assumptions!B3</f>
        <v/>
      </c>
      <c r="L74" s="3">
        <f>D74-K74</f>
        <v/>
      </c>
      <c r="M74" s="3">
        <f>-PMT(Assumptions!B2/12,Assumptions!B4*12,L74)</f>
        <v/>
      </c>
      <c r="N74" s="3">
        <f>D74*Assumptions!B5/12</f>
        <v/>
      </c>
      <c r="O74" s="3">
        <f>Assumptions!B6</f>
        <v/>
      </c>
      <c r="P74" s="3">
        <f>Assumptions!B7+Assumptions!B8</f>
        <v/>
      </c>
      <c r="Q74" s="3">
        <f>M74+E74+N74+O74+P74</f>
        <v/>
      </c>
      <c r="R74" s="3" t="n">
        <v>0</v>
      </c>
      <c r="S74" s="3">
        <f>Q74-R74</f>
        <v/>
      </c>
      <c r="T74" t="n">
        <v>1.2</v>
      </c>
      <c r="U74" t="n">
        <v>15.2</v>
      </c>
      <c r="V74" t="n">
        <v>14.1</v>
      </c>
      <c r="W74" s="7" t="n">
        <v>1.75</v>
      </c>
      <c r="X74" t="inlineStr">
        <is>
          <t>Yellow</t>
        </is>
      </c>
    </row>
    <row r="75">
      <c r="A75" s="8" t="inlineStr">
        <is>
          <t>11 Cogswell Ave #15, Cambridge, MA 02140</t>
        </is>
      </c>
      <c r="B75" t="inlineStr">
        <is>
          <t>Cambridge</t>
        </is>
      </c>
      <c r="C75" s="6" t="inlineStr">
        <is>
          <t>https://www.redfin.com/MA/Cambridge/11-Cogswell-Ave-02140/unit-15/home/11583274</t>
        </is>
      </c>
      <c r="D75" s="3" t="n">
        <v>550000</v>
      </c>
      <c r="E75" s="3" t="n">
        <v>388</v>
      </c>
      <c r="F75" t="n">
        <v>1</v>
      </c>
      <c r="G75" t="n">
        <v>1</v>
      </c>
      <c r="H75" s="4" t="n">
        <v>575</v>
      </c>
      <c r="I75" t="inlineStr">
        <is>
          <t>No</t>
        </is>
      </c>
      <c r="J75" t="inlineStr">
        <is>
          <t>1 space</t>
        </is>
      </c>
      <c r="K75" s="3">
        <f>Assumptions!B3</f>
        <v/>
      </c>
      <c r="L75" s="3">
        <f>D75-K75</f>
        <v/>
      </c>
      <c r="M75" s="3">
        <f>-PMT(Assumptions!B2/12,Assumptions!B4*12,L75)</f>
        <v/>
      </c>
      <c r="N75" s="3">
        <f>D75*Assumptions!B5/12</f>
        <v/>
      </c>
      <c r="O75" s="3">
        <f>Assumptions!B6</f>
        <v/>
      </c>
      <c r="P75" s="3">
        <f>Assumptions!B7+Assumptions!B8</f>
        <v/>
      </c>
      <c r="Q75" s="3">
        <f>M75+E75+N75+O75+P75</f>
        <v/>
      </c>
      <c r="R75" s="3" t="n">
        <v>0</v>
      </c>
      <c r="S75" s="3">
        <f>Q75-R75</f>
        <v/>
      </c>
      <c r="T75" t="n">
        <v>1.5</v>
      </c>
      <c r="U75" t="n">
        <v>15.1</v>
      </c>
      <c r="V75" t="n">
        <v>11.1</v>
      </c>
      <c r="W75" s="7" t="n">
        <v>1.75</v>
      </c>
      <c r="X75" t="inlineStr">
        <is>
          <t>Yellow</t>
        </is>
      </c>
    </row>
    <row r="76">
      <c r="A76" s="8" t="inlineStr">
        <is>
          <t>65 Strathmore Rd #49, Brighton, MA 02135</t>
        </is>
      </c>
      <c r="B76" t="inlineStr">
        <is>
          <t>Brighton</t>
        </is>
      </c>
      <c r="C76" s="6" t="inlineStr">
        <is>
          <t>https://www.redfin.com/MA/Brighton/65-Strathmore-Rd-02135/unit-49/home/9024664</t>
        </is>
      </c>
      <c r="D76" s="3" t="n">
        <v>530000</v>
      </c>
      <c r="E76" s="3" t="n">
        <v>483</v>
      </c>
      <c r="F76" t="n">
        <v>1</v>
      </c>
      <c r="G76" t="n">
        <v>1</v>
      </c>
      <c r="H76" s="4" t="n">
        <v>764</v>
      </c>
      <c r="I76" t="inlineStr">
        <is>
          <t>No</t>
        </is>
      </c>
      <c r="J76" t="inlineStr">
        <is>
          <t>0 spaces</t>
        </is>
      </c>
      <c r="K76" s="3">
        <f>Assumptions!B3</f>
        <v/>
      </c>
      <c r="L76" s="3">
        <f>D76-K76</f>
        <v/>
      </c>
      <c r="M76" s="3">
        <f>-PMT(Assumptions!B2/12,Assumptions!B4*12,L76)</f>
        <v/>
      </c>
      <c r="N76" s="3">
        <f>D76*Assumptions!B5/12</f>
        <v/>
      </c>
      <c r="O76" s="3">
        <f>Assumptions!B6</f>
        <v/>
      </c>
      <c r="P76" s="3">
        <f>Assumptions!B7+Assumptions!B8</f>
        <v/>
      </c>
      <c r="Q76" s="3">
        <f>M76+E76+N76+O76+P76</f>
        <v/>
      </c>
      <c r="R76" s="3" t="n">
        <v>0</v>
      </c>
      <c r="S76" s="3">
        <f>Q76-R76</f>
        <v/>
      </c>
      <c r="T76" t="n">
        <v>2.1</v>
      </c>
      <c r="U76" t="n">
        <v>15.3</v>
      </c>
      <c r="V76" t="n">
        <v>14.5</v>
      </c>
      <c r="W76" s="7" t="n">
        <v>1.7</v>
      </c>
      <c r="X76" t="inlineStr">
        <is>
          <t>Yellow</t>
        </is>
      </c>
    </row>
    <row r="77">
      <c r="A77" s="9" t="inlineStr">
        <is>
          <t>21 Totman St #404, Quincy, MA 02169</t>
        </is>
      </c>
      <c r="B77" t="inlineStr">
        <is>
          <t>Quincy</t>
        </is>
      </c>
      <c r="C77" s="6" t="inlineStr">
        <is>
          <t>https://www.redfin.com/MA/Quincy/21-Totman-St-02169/unit-404/home/199967272</t>
        </is>
      </c>
      <c r="D77" s="3" t="n">
        <v>500000</v>
      </c>
      <c r="E77" s="3" t="n">
        <v>327</v>
      </c>
      <c r="F77" t="n">
        <v>1</v>
      </c>
      <c r="G77" t="n">
        <v>1</v>
      </c>
      <c r="H77" s="4" t="n">
        <v>679</v>
      </c>
      <c r="I77" t="inlineStr">
        <is>
          <t>No</t>
        </is>
      </c>
      <c r="J77" t="inlineStr">
        <is>
          <t>1 space</t>
        </is>
      </c>
      <c r="K77" s="3">
        <f>Assumptions!B3</f>
        <v/>
      </c>
      <c r="L77" s="3">
        <f>D77-K77</f>
        <v/>
      </c>
      <c r="M77" s="3">
        <f>-PMT(Assumptions!B2/12,Assumptions!B4*12,L77)</f>
        <v/>
      </c>
      <c r="N77" s="3">
        <f>D77*Assumptions!B5/12</f>
        <v/>
      </c>
      <c r="O77" s="3">
        <f>Assumptions!B6</f>
        <v/>
      </c>
      <c r="P77" s="3">
        <f>Assumptions!B7+Assumptions!B8</f>
        <v/>
      </c>
      <c r="Q77" s="3">
        <f>M77+E77+N77+O77+P77</f>
        <v/>
      </c>
      <c r="R77" s="3" t="n">
        <v>0</v>
      </c>
      <c r="S77" s="3">
        <f>Q77-R77</f>
        <v/>
      </c>
      <c r="T77" t="n">
        <v>2.3</v>
      </c>
      <c r="U77" t="n">
        <v>18.3</v>
      </c>
      <c r="V77" t="n">
        <v>22.4</v>
      </c>
      <c r="W77" s="7" t="n">
        <v>1.65</v>
      </c>
      <c r="X77" t="inlineStr">
        <is>
          <t>Red</t>
        </is>
      </c>
    </row>
    <row r="78">
      <c r="A78" s="9" t="inlineStr">
        <is>
          <t>290 Pleasant St #113, Watertown, MA 02471</t>
        </is>
      </c>
      <c r="B78" t="inlineStr">
        <is>
          <t>Watertown</t>
        </is>
      </c>
      <c r="C78" s="6" t="inlineStr">
        <is>
          <t>https://www.redfin.com/MA/Watertown/290-Pleasant-St-02472/unit-113/home/12404099</t>
        </is>
      </c>
      <c r="D78" s="3" t="n">
        <v>539900</v>
      </c>
      <c r="E78" s="3" t="n">
        <v>485</v>
      </c>
      <c r="F78" t="n">
        <v>1</v>
      </c>
      <c r="G78" t="n">
        <v>1</v>
      </c>
      <c r="H78" s="4" t="n">
        <v>941</v>
      </c>
      <c r="I78" t="inlineStr">
        <is>
          <t>No</t>
        </is>
      </c>
      <c r="J78" t="inlineStr">
        <is>
          <t>2 spaces</t>
        </is>
      </c>
      <c r="K78" s="3">
        <f>Assumptions!B3</f>
        <v/>
      </c>
      <c r="L78" s="3">
        <f>D78-K78</f>
        <v/>
      </c>
      <c r="M78" s="3">
        <f>-PMT(Assumptions!B2/12,Assumptions!B4*12,L78)</f>
        <v/>
      </c>
      <c r="N78" s="3">
        <f>D78*Assumptions!B5/12</f>
        <v/>
      </c>
      <c r="O78" s="3">
        <f>Assumptions!B6</f>
        <v/>
      </c>
      <c r="P78" s="3">
        <f>Assumptions!B7+Assumptions!B8</f>
        <v/>
      </c>
      <c r="Q78" s="3">
        <f>M78+E78+N78+O78+P78</f>
        <v/>
      </c>
      <c r="R78" s="3" t="n">
        <v>0</v>
      </c>
      <c r="S78" s="3">
        <f>Q78-R78</f>
        <v/>
      </c>
      <c r="T78" t="n">
        <v>10.2</v>
      </c>
      <c r="U78" t="n">
        <v>17.2</v>
      </c>
      <c r="V78" t="n">
        <v>17.8</v>
      </c>
      <c r="W78" s="7" t="n">
        <v>1.55</v>
      </c>
      <c r="X78" t="inlineStr">
        <is>
          <t>Red</t>
        </is>
      </c>
    </row>
    <row r="79">
      <c r="A79" s="9" t="inlineStr">
        <is>
          <t>995 Massachusetts Ave #404, Arlington, MA 02476</t>
        </is>
      </c>
      <c r="B79" t="inlineStr">
        <is>
          <t>Arlington</t>
        </is>
      </c>
      <c r="C79" s="6" t="inlineStr">
        <is>
          <t>https://www.redfin.com/MA/Arlington/995-Massachusetts-Ave-02476/unit-404/home/8418935</t>
        </is>
      </c>
      <c r="D79" s="3" t="n">
        <v>498000</v>
      </c>
      <c r="E79" s="3" t="n">
        <v>426</v>
      </c>
      <c r="F79" t="n">
        <v>1</v>
      </c>
      <c r="G79" t="n">
        <v>1</v>
      </c>
      <c r="H79" s="4" t="n">
        <v>663</v>
      </c>
      <c r="I79" t="inlineStr">
        <is>
          <t>No</t>
        </is>
      </c>
      <c r="J79" t="inlineStr">
        <is>
          <t>1 space</t>
        </is>
      </c>
      <c r="K79" s="3">
        <f>Assumptions!B3</f>
        <v/>
      </c>
      <c r="L79" s="3">
        <f>D79-K79</f>
        <v/>
      </c>
      <c r="M79" s="3">
        <f>-PMT(Assumptions!B2/12,Assumptions!B4*12,L79)</f>
        <v/>
      </c>
      <c r="N79" s="3">
        <f>D79*Assumptions!B5/12</f>
        <v/>
      </c>
      <c r="O79" s="3">
        <f>Assumptions!B6</f>
        <v/>
      </c>
      <c r="P79" s="3">
        <f>Assumptions!B7+Assumptions!B8</f>
        <v/>
      </c>
      <c r="Q79" s="3">
        <f>M79+E79+N79+O79+P79</f>
        <v/>
      </c>
      <c r="R79" s="3" t="n">
        <v>0</v>
      </c>
      <c r="S79" s="3">
        <f>Q79-R79</f>
        <v/>
      </c>
      <c r="T79" t="n">
        <v>6.7</v>
      </c>
      <c r="U79" t="n">
        <v>18.4</v>
      </c>
      <c r="V79" t="n">
        <v>17</v>
      </c>
      <c r="W79" s="7" t="n">
        <v>1.55</v>
      </c>
      <c r="X79" t="inlineStr">
        <is>
          <t>Red</t>
        </is>
      </c>
    </row>
  </sheetData>
  <conditionalFormatting sqref="X2:X79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</conditionalFormatting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2026-02-27T09:19:53Z</dcterms:created>
  <dcterms:modified xsi:type="dcterms:W3CDTF">2026-02-27T09:19:53Z</dcterms:modified>
</cp:coreProperties>
</file>