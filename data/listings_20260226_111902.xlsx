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Cambridge/199-Prospect-St-02139/unit-A1/home/110093910" TargetMode="External" Id="rId1" /><Relationship Type="http://schemas.openxmlformats.org/officeDocument/2006/relationships/hyperlink" Target="https://www.redfin.com/MA/Boston/466-Commonwealth-Ave-02215/unit-305/home/926921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%</t>
        </is>
      </c>
      <c r="B3" s="3" t="n">
        <v>0.2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5" t="n">
        <v>150</v>
      </c>
    </row>
    <row r="7">
      <c r="A7" t="inlineStr">
        <is>
          <t>Utilities $/mo</t>
        </is>
      </c>
      <c r="B7" s="5" t="n">
        <v>250</v>
      </c>
    </row>
    <row r="8">
      <c r="A8" t="inlineStr">
        <is>
          <t>Internet $/mo</t>
        </is>
      </c>
      <c r="B8" s="5" t="n">
        <v>60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50" customWidth="1" min="3" max="3"/>
    <col width="10" customWidth="1" min="4" max="4"/>
    <col width="10" customWidth="1" min="5" max="5"/>
    <col width="8" customWidth="1" min="6" max="6"/>
    <col width="9" customWidth="1" min="7" max="7"/>
    <col width="9" customWidth="1" min="8" max="8"/>
    <col width="19" customWidth="1" min="9" max="9"/>
    <col width="12" customWidth="1" min="10" max="10"/>
    <col width="22" customWidth="1" min="11" max="11"/>
    <col width="15" customWidth="1" min="12" max="12"/>
    <col width="49" customWidth="1" min="13" max="13"/>
    <col width="25" customWidth="1" min="14" max="14"/>
    <col width="19" customWidth="1" min="15" max="15"/>
    <col width="34" customWidth="1" min="16" max="16"/>
    <col width="22" customWidth="1" min="17" max="17"/>
    <col width="32" customWidth="1" min="18" max="18"/>
    <col width="20" customWidth="1" min="19" max="19"/>
    <col width="23" customWidth="1" min="20" max="20"/>
    <col width="26" customWidth="1" min="21" max="21"/>
    <col width="25" customWidth="1" min="22" max="22"/>
    <col width="16" customWidth="1" min="23" max="23"/>
    <col width="10" customWidth="1" min="24" max="24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Price</t>
        </is>
      </c>
      <c r="E1" s="1" t="inlineStr">
        <is>
          <t>HOA/mo</t>
        </is>
      </c>
      <c r="F1" s="1" t="inlineStr">
        <is>
          <t>Beds</t>
        </is>
      </c>
      <c r="G1" s="1" t="inlineStr">
        <is>
          <t>Baths</t>
        </is>
      </c>
      <c r="H1" s="1" t="inlineStr">
        <is>
          <t>Sq Ft</t>
        </is>
      </c>
      <c r="I1" s="1" t="inlineStr">
        <is>
          <t>In-Unit Laundry</t>
        </is>
      </c>
      <c r="J1" s="1" t="inlineStr">
        <is>
          <t>Parking</t>
        </is>
      </c>
      <c r="K1" s="1" t="inlineStr">
        <is>
          <t>Down Payment $</t>
        </is>
      </c>
      <c r="L1" s="1" t="inlineStr">
        <is>
          <t>Loan Amount</t>
        </is>
      </c>
      <c r="M1" s="1" t="inlineStr">
        <is>
          <t>Monthly Mortgage</t>
        </is>
      </c>
      <c r="N1" s="1" t="inlineStr">
        <is>
          <t>Property Tax/mo</t>
        </is>
      </c>
      <c r="O1" s="1" t="inlineStr">
        <is>
          <t>Insurance/mo</t>
        </is>
      </c>
      <c r="P1" s="1" t="inlineStr">
        <is>
          <t>Utilities+Internet</t>
        </is>
      </c>
      <c r="Q1" s="1" t="inlineStr">
        <is>
          <t>Total Monthly Cost</t>
        </is>
      </c>
      <c r="R1" s="1" t="inlineStr">
        <is>
          <t>Area Rental Price (Roommate)</t>
        </is>
      </c>
      <c r="S1" s="1" t="inlineStr">
        <is>
          <t>Net Monthly Cost</t>
        </is>
      </c>
      <c r="T1" s="1" t="inlineStr">
        <is>
          <t>Drive to MBTA (min)</t>
        </is>
      </c>
      <c r="U1" s="1" t="inlineStr">
        <is>
          <t>Drive to Seaport (min)</t>
        </is>
      </c>
      <c r="V1" s="1" t="inlineStr">
        <is>
          <t>Drive to Google (min)</t>
        </is>
      </c>
      <c r="W1" s="1" t="inlineStr">
        <is>
          <t>Rating Score</t>
        </is>
      </c>
      <c r="X1" s="1" t="inlineStr">
        <is>
          <t>Rating</t>
        </is>
      </c>
    </row>
    <row r="2">
      <c r="A2" s="6" t="inlineStr">
        <is>
          <t>199 Prospect St Unit A1, Cambridge, MA 02139</t>
        </is>
      </c>
      <c r="B2" t="inlineStr">
        <is>
          <t>Cambridge</t>
        </is>
      </c>
      <c r="C2" s="7" t="inlineStr">
        <is>
          <t>https://www.redfin.com/MA/Cambridge/199-Prospect-St-02139/unit-A1/home/110093910</t>
        </is>
      </c>
      <c r="D2" s="5" t="n">
        <v>399999</v>
      </c>
      <c r="E2" s="5" t="n">
        <v>183</v>
      </c>
      <c r="F2" t="n">
        <v>0</v>
      </c>
      <c r="G2" t="n">
        <v>1</v>
      </c>
      <c r="H2" s="4" t="n">
        <v>389</v>
      </c>
      <c r="I2" t="inlineStr">
        <is>
          <t>No</t>
        </is>
      </c>
      <c r="J2" t="inlineStr">
        <is>
          <t>0 spaces</t>
        </is>
      </c>
      <c r="K2" s="5">
        <f>D2*Assumptions!B3</f>
        <v/>
      </c>
      <c r="L2" s="5">
        <f>D2-K2</f>
        <v/>
      </c>
      <c r="M2" s="5">
        <f>-PMT(Assumptions!B2/12,Assumptions!B4*12,L2)</f>
        <v/>
      </c>
      <c r="N2" s="5">
        <f>D2*Assumptions!B5/12</f>
        <v/>
      </c>
      <c r="O2" s="5">
        <f>Assumptions!B6</f>
        <v/>
      </c>
      <c r="P2" s="5">
        <f>Assumptions!B7+Assumptions!B8</f>
        <v/>
      </c>
      <c r="Q2" s="5">
        <f>M2+E2+N2+O2+P2</f>
        <v/>
      </c>
      <c r="R2" s="5" t="n">
        <v>0</v>
      </c>
      <c r="S2" s="5">
        <f>Q2-R2</f>
        <v/>
      </c>
      <c r="T2" t="n">
        <v>2.4</v>
      </c>
      <c r="U2" t="n">
        <v>11.2</v>
      </c>
      <c r="V2" t="n">
        <v>4.1</v>
      </c>
      <c r="W2" s="8" t="n">
        <v>2.3</v>
      </c>
      <c r="X2" t="inlineStr">
        <is>
          <t>Yellow</t>
        </is>
      </c>
    </row>
    <row r="3">
      <c r="A3" s="6" t="inlineStr">
        <is>
          <t>466 Commonwealth Ave #305, Boston, MA 02215</t>
        </is>
      </c>
      <c r="B3" t="inlineStr">
        <is>
          <t>Brookline</t>
        </is>
      </c>
      <c r="C3" s="7" t="inlineStr">
        <is>
          <t>https://www.redfin.com/MA/Boston/466-Commonwealth-Ave-02215/unit-305/home/9269210</t>
        </is>
      </c>
      <c r="D3" s="5" t="n">
        <v>489000</v>
      </c>
      <c r="E3" s="5" t="n">
        <v>314</v>
      </c>
      <c r="F3" t="n">
        <v>0</v>
      </c>
      <c r="G3" t="n">
        <v>1</v>
      </c>
      <c r="H3" s="4" t="n">
        <v>346</v>
      </c>
      <c r="I3" t="inlineStr">
        <is>
          <t>No</t>
        </is>
      </c>
      <c r="J3" t="inlineStr">
        <is>
          <t>0 spaces</t>
        </is>
      </c>
      <c r="K3" s="5">
        <f>D3*Assumptions!B3</f>
        <v/>
      </c>
      <c r="L3" s="5">
        <f>D3-K3</f>
        <v/>
      </c>
      <c r="M3" s="5">
        <f>-PMT(Assumptions!B2/12,Assumptions!B4*12,L3)</f>
        <v/>
      </c>
      <c r="N3" s="5">
        <f>D3*Assumptions!B5/12</f>
        <v/>
      </c>
      <c r="O3" s="5">
        <f>Assumptions!B6</f>
        <v/>
      </c>
      <c r="P3" s="5">
        <f>Assumptions!B7+Assumptions!B8</f>
        <v/>
      </c>
      <c r="Q3" s="5">
        <f>M3+E3+N3+O3+P3</f>
        <v/>
      </c>
      <c r="R3" s="5" t="n">
        <v>0</v>
      </c>
      <c r="S3" s="5">
        <f>Q3-R3</f>
        <v/>
      </c>
      <c r="T3" t="n">
        <v>1.3</v>
      </c>
      <c r="U3" t="n">
        <v>11.2</v>
      </c>
      <c r="V3" t="n">
        <v>7.7</v>
      </c>
      <c r="W3" s="8" t="n">
        <v>2.1</v>
      </c>
      <c r="X3" t="inlineStr">
        <is>
          <t>Yellow</t>
        </is>
      </c>
    </row>
  </sheetData>
  <conditionalFormatting sqref="X2:X3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ref="C2" r:id="rId1"/>
    <hyperlink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2026-02-26T19:21:32Z</dcterms:created>
  <dcterms:modified xsi:type="dcterms:W3CDTF">2026-02-26T19:21:32Z</dcterms:modified>
</cp:coreProperties>
</file>