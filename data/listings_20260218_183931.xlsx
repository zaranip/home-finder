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Medford/0-Gordon-Rd-02155/home/187063221" TargetMode="External" Id="rId1" /><Relationship Type="http://schemas.openxmlformats.org/officeDocument/2006/relationships/hyperlink" Target="https://www.redfin.com/MA/Brighton/88-Gordon-St-02135/unit-305/home/9012102" TargetMode="External" Id="rId2" /><Relationship Type="http://schemas.openxmlformats.org/officeDocument/2006/relationships/hyperlink" Target="https://www.redfin.com/MA/Brighton/354-Market-St-02135/unit-9/home/9025930" TargetMode="External" Id="rId3" /><Relationship Type="http://schemas.openxmlformats.org/officeDocument/2006/relationships/hyperlink" Target="https://www.redfin.com/MA/Brighton/1641-Commonwealth-Ave-02135/unit-16/home/9002891" TargetMode="External" Id="rId4" /><Relationship Type="http://schemas.openxmlformats.org/officeDocument/2006/relationships/hyperlink" Target="https://www.redfin.com/MA/Brighton/1564-Commonwealth-Ave-02135/unit-3/home/9017145" TargetMode="External" Id="rId5" /><Relationship Type="http://schemas.openxmlformats.org/officeDocument/2006/relationships/hyperlink" Target="https://www.redfin.com/MA/Brighton/198-Allston-St-02135/unit-3/home/9013031" TargetMode="External" Id="rId6" /><Relationship Type="http://schemas.openxmlformats.org/officeDocument/2006/relationships/hyperlink" Target="https://www.redfin.com/MA/Medford/32-Almont-St-02155/unit-32-1/home/11802621" TargetMode="External" Id="rId7" /><Relationship Type="http://schemas.openxmlformats.org/officeDocument/2006/relationships/hyperlink" Target="https://www.redfin.com/MA/Allston/45-Gordon-St-02134/unit-4/home/8999903" TargetMode="External" Id="rId8" /><Relationship Type="http://schemas.openxmlformats.org/officeDocument/2006/relationships/hyperlink" Target="https://www.redfin.com/MA/Brighton/88-Gordon-St-02135/unit-304/home/9226535" TargetMode="External" Id="rId9" /><Relationship Type="http://schemas.openxmlformats.org/officeDocument/2006/relationships/hyperlink" Target="https://www.redfin.com/MA/Brighton/7-Cypress-Rd-02135/unit-703/home/9016137" TargetMode="External" Id="rId10" /><Relationship Type="http://schemas.openxmlformats.org/officeDocument/2006/relationships/hyperlink" Target="https://www.redfin.com/MA/Brighton/15-Commonwealth-Ct-02135/unit-10/home/9014600" TargetMode="External" Id="rId11" /><Relationship Type="http://schemas.openxmlformats.org/officeDocument/2006/relationships/hyperlink" Target="https://www.redfin.com/MA/Medford/50-Water-St-02155/unit-24/home/11787534" TargetMode="External" Id="rId12" /><Relationship Type="http://schemas.openxmlformats.org/officeDocument/2006/relationships/hyperlink" Target="https://www.redfin.com/MA/Brighton/5-Braemore-Rd-02135/unit-10/home/9308549" TargetMode="External" Id="rId13" /><Relationship Type="http://schemas.openxmlformats.org/officeDocument/2006/relationships/hyperlink" Target="https://www.redfin.com/MA/Medford/24-South-St-02155/unit-38/home/11792951" TargetMode="External" Id="rId14" /><Relationship Type="http://schemas.openxmlformats.org/officeDocument/2006/relationships/hyperlink" Target="https://www.redfin.com/MA/Quincy/Quincy/1-Bedroom/home/197950895" TargetMode="External" Id="rId15" /><Relationship Type="http://schemas.openxmlformats.org/officeDocument/2006/relationships/hyperlink" Target="https://www.redfin.com/MA/Allston/239-Kelton-St-02134/unit-41/home/9001010" TargetMode="External" Id="rId16" /><Relationship Type="http://schemas.openxmlformats.org/officeDocument/2006/relationships/hyperlink" Target="https://www.redfin.com/MA/Allston/10-Scottfield-Rd-02134/unit-2/home/9000250" TargetMode="External" Id="rId17" /><Relationship Type="http://schemas.openxmlformats.org/officeDocument/2006/relationships/hyperlink" Target="https://www.redfin.com/MA/Brighton/1691-Commonwealth-Ave-02135/unit-31/home/9020583" TargetMode="External" Id="rId18" /><Relationship Type="http://schemas.openxmlformats.org/officeDocument/2006/relationships/hyperlink" Target="https://www.redfin.com/MA/Brighton/461-Washington-St-02135/unit-301/home/11503967" TargetMode="External" Id="rId19" /><Relationship Type="http://schemas.openxmlformats.org/officeDocument/2006/relationships/hyperlink" Target="https://www.redfin.com/MA/Somerville/5-Cooney-St-02143/unit-3/home/40421808" TargetMode="External" Id="rId20" /><Relationship Type="http://schemas.openxmlformats.org/officeDocument/2006/relationships/hyperlink" Target="https://www.redfin.com/MA/Somerville/17-Buckingham-St-02143/unit-3/home/200344678" TargetMode="External" Id="rId21" /><Relationship Type="http://schemas.openxmlformats.org/officeDocument/2006/relationships/hyperlink" Target="https://www.redfin.com/MA/Somerville/367-Somerville-Ave-02143/unit-G/home/8751476" TargetMode="External" Id="rId22" /><Relationship Type="http://schemas.openxmlformats.org/officeDocument/2006/relationships/hyperlink" Target="https://www.redfin.com/MA/Somerville/5-Waldo-Ave-02143/unit-2A/home/8759932" TargetMode="External" Id="rId23" /><Relationship Type="http://schemas.openxmlformats.org/officeDocument/2006/relationships/hyperlink" Target="https://www.redfin.com/MA/Brighton/26-Chiswick-Rd-02135/unit-6/home/9026723" TargetMode="External" Id="rId24" /><Relationship Type="http://schemas.openxmlformats.org/officeDocument/2006/relationships/hyperlink" Target="https://www.redfin.com/MA/Brighton/103-Lake-Shore-Rd-02135/unit-2/home/9043204" TargetMode="External" Id="rId25" /><Relationship Type="http://schemas.openxmlformats.org/officeDocument/2006/relationships/hyperlink" Target="https://www.redfin.com/MA/Quincy/195-Thomas-Burgin-Pkwy-02169/unit-212/home/8931803" TargetMode="External" Id="rId26" /><Relationship Type="http://schemas.openxmlformats.org/officeDocument/2006/relationships/hyperlink" Target="https://www.redfin.com/MA/Quincy/1025-Hancock-St-02169/unit-2K/home/9032191" TargetMode="External" Id="rId27" /><Relationship Type="http://schemas.openxmlformats.org/officeDocument/2006/relationships/hyperlink" Target="https://www.redfin.com/MA/Watertown/194-Lexington-St-02472/unit-1/home/11690433" TargetMode="External" Id="rId28" /><Relationship Type="http://schemas.openxmlformats.org/officeDocument/2006/relationships/hyperlink" Target="https://www.redfin.com/MA/Watertown/133-Warren-St-02472/unit-3/home/11690534" TargetMode="External" Id="rId29" /><Relationship Type="http://schemas.openxmlformats.org/officeDocument/2006/relationships/hyperlink" Target="https://www.redfin.com/MA/Watertown/38-Carey-Ave-02472/unit-3/home/11690323" TargetMode="External" Id="rId30" /><Relationship Type="http://schemas.openxmlformats.org/officeDocument/2006/relationships/hyperlink" Target="https://www.redfin.com/MA/Brighton/100-Lanark-Rd-02135/unit-8/home/9022520" TargetMode="External" Id="rId31" /><Relationship Type="http://schemas.openxmlformats.org/officeDocument/2006/relationships/hyperlink" Target="https://www.redfin.com/MA/Quincy/18-Allerton-St-02169/home/110011603" TargetMode="External" Id="rId32" /><Relationship Type="http://schemas.openxmlformats.org/officeDocument/2006/relationships/hyperlink" Target="https://www.redfin.com/MA/Brighton/1945-Commonwealth-Ave-02135/unit-4/home/9242382" TargetMode="External" Id="rId33" /><Relationship Type="http://schemas.openxmlformats.org/officeDocument/2006/relationships/hyperlink" Target="https://www.redfin.com/MA/Quincy/20-Whitney-Rd-02169/unit-U-1/home/200248173" TargetMode="External" Id="rId34" /><Relationship Type="http://schemas.openxmlformats.org/officeDocument/2006/relationships/hyperlink" Target="https://www.redfin.com/MA/Quincy/20-Whitney-Rd-02169/unit-101/home/196906729" TargetMode="External" Id="rId35" /><Relationship Type="http://schemas.openxmlformats.org/officeDocument/2006/relationships/hyperlink" Target="https://www.redfin.com/MA/Cambridge/35-Homer-Ave-02138/unit-7/home/12442078" TargetMode="External" Id="rId36" /><Relationship Type="http://schemas.openxmlformats.org/officeDocument/2006/relationships/hyperlink" Target="https://www.redfin.com/MA/Medford/8-9th-St-02155/unit-513/home/11797051" TargetMode="External" Id="rId37" /><Relationship Type="http://schemas.openxmlformats.org/officeDocument/2006/relationships/hyperlink" Target="https://www.redfin.com/MA/Brighton/15-Colliston-Rd-02135/unit-6/home/9004520" TargetMode="External" Id="rId38" /><Relationship Type="http://schemas.openxmlformats.org/officeDocument/2006/relationships/hyperlink" Target="https://www.redfin.com/MA/Quincy/21-Totman-St-02169/unit-203/home/199494634" TargetMode="External" Id="rId39" /><Relationship Type="http://schemas.openxmlformats.org/officeDocument/2006/relationships/hyperlink" Target="https://www.redfin.com/MA/Waltham/16-Winter-St-02451/unit-26C/home/11804463" TargetMode="External" Id="rId40" /><Relationship Type="http://schemas.openxmlformats.org/officeDocument/2006/relationships/hyperlink" Target="https://www.redfin.com/MA/Boston/4-Franklin-St-02134/unit-202/home/190592119" TargetMode="External" Id="rId41" /><Relationship Type="http://schemas.openxmlformats.org/officeDocument/2006/relationships/hyperlink" Target="https://www.redfin.com/MA/Quincy/Quincy/2-Bedrooms/home/197950891" TargetMode="External" Id="rId42" /><Relationship Type="http://schemas.openxmlformats.org/officeDocument/2006/relationships/hyperlink" Target="https://www.redfin.com/MA/Watertown/31-Aldrich-Rd-02472/unit-1/home/11704970" TargetMode="External" Id="rId43" /><Relationship Type="http://schemas.openxmlformats.org/officeDocument/2006/relationships/hyperlink" Target="https://www.redfin.com/MA/Watertown/147-Langdon-Ave-02472/unit-1/home/199969479" TargetMode="External" Id="rId44" /><Relationship Type="http://schemas.openxmlformats.org/officeDocument/2006/relationships/hyperlink" Target="https://www.redfin.com/MA/Belmont/9-Henry-St-02478/unit-9/home/77513972" TargetMode="External" Id="rId45" /><Relationship Type="http://schemas.openxmlformats.org/officeDocument/2006/relationships/hyperlink" Target="https://www.redfin.com/MA/Brighton/60-Sutherland-Rd-02135/unit-4/home/9026345" TargetMode="External" Id="rId46" /><Relationship Type="http://schemas.openxmlformats.org/officeDocument/2006/relationships/hyperlink" Target="https://www.redfin.com/MA/Brighton/7-Lothian-Rd-02135/unit-B/home/9025402" TargetMode="External" Id="rId47" /><Relationship Type="http://schemas.openxmlformats.org/officeDocument/2006/relationships/hyperlink" Target="https://www.redfin.com/MA/Boston/50-Leo-M-Birmingham-Pkwy-02135/unit-303/home/177960883" TargetMode="External" Id="rId48" /><Relationship Type="http://schemas.openxmlformats.org/officeDocument/2006/relationships/hyperlink" Target="https://www.redfin.com/MA/Quincy/87-Franklin-St-02169/unit-105/home/9037092" TargetMode="External" Id="rId49" /><Relationship Type="http://schemas.openxmlformats.org/officeDocument/2006/relationships/hyperlink" Target="https://www.redfin.com/MA/Brighton/65-Strathmore-Rd-02135/unit-49/home/9024664" TargetMode="External" Id="rId50" /><Relationship Type="http://schemas.openxmlformats.org/officeDocument/2006/relationships/hyperlink" Target="https://www.redfin.com/MA/Brighton/99-Tremont-St-02135/unit-105/home/144873670" TargetMode="External" Id="rId51" /><Relationship Type="http://schemas.openxmlformats.org/officeDocument/2006/relationships/hyperlink" Target="https://www.redfin.com/MA/Quincy/21-Totman-St-02169/unit-404/home/199967272" TargetMode="External" Id="rId52" /><Relationship Type="http://schemas.openxmlformats.org/officeDocument/2006/relationships/hyperlink" Target="https://www.redfin.com/MA/Watertown/290-Pleasant-St-02472/unit-113/home/12404099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%</t>
        </is>
      </c>
      <c r="B3" s="3" t="n">
        <v>0.2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5" t="n">
        <v>150</v>
      </c>
    </row>
    <row r="7">
      <c r="A7" t="inlineStr">
        <is>
          <t>Utilities $/mo</t>
        </is>
      </c>
      <c r="B7" s="5" t="n">
        <v>250</v>
      </c>
    </row>
    <row r="8">
      <c r="A8" t="inlineStr">
        <is>
          <t>Internet $/mo</t>
        </is>
      </c>
      <c r="B8" s="5" t="n">
        <v>60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0" customWidth="1" min="4" max="4"/>
    <col width="10" customWidth="1" min="5" max="5"/>
    <col width="14" customWidth="1" min="6" max="6"/>
    <col width="9" customWidth="1" min="7" max="7"/>
    <col width="19" customWidth="1" min="8" max="8"/>
    <col width="12" customWidth="1" min="9" max="9"/>
    <col width="23" customWidth="1" min="10" max="10"/>
    <col width="15" customWidth="1" min="11" max="11"/>
    <col width="50" customWidth="1" min="12" max="12"/>
    <col width="26" customWidth="1" min="13" max="13"/>
    <col width="19" customWidth="1" min="14" max="14"/>
    <col width="34" customWidth="1" min="15" max="15"/>
    <col width="24" customWidth="1" min="16" max="16"/>
    <col width="32" customWidth="1" min="17" max="17"/>
    <col width="20" customWidth="1" min="18" max="18"/>
    <col width="23" customWidth="1" min="19" max="19"/>
    <col width="26" customWidth="1" min="20" max="20"/>
    <col width="25" customWidth="1" min="21" max="21"/>
    <col width="16" customWidth="1" min="22" max="22"/>
    <col width="10" customWidth="1" min="23" max="23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Beds/Baths</t>
        </is>
      </c>
      <c r="G1" s="1" t="inlineStr">
        <is>
          <t>Sq Ft</t>
        </is>
      </c>
      <c r="H1" s="1" t="inlineStr">
        <is>
          <t>In-Unit Laundry</t>
        </is>
      </c>
      <c r="I1" s="1" t="inlineStr">
        <is>
          <t>Parking</t>
        </is>
      </c>
      <c r="J1" s="1" t="inlineStr">
        <is>
          <t>Down Payment $</t>
        </is>
      </c>
      <c r="K1" s="1" t="inlineStr">
        <is>
          <t>Loan Amount</t>
        </is>
      </c>
      <c r="L1" s="1" t="inlineStr">
        <is>
          <t>Monthly Mortgage</t>
        </is>
      </c>
      <c r="M1" s="1" t="inlineStr">
        <is>
          <t>Property Tax/mo</t>
        </is>
      </c>
      <c r="N1" s="1" t="inlineStr">
        <is>
          <t>Insurance/mo</t>
        </is>
      </c>
      <c r="O1" s="1" t="inlineStr">
        <is>
          <t>Utilities+Internet</t>
        </is>
      </c>
      <c r="P1" s="1" t="inlineStr">
        <is>
          <t>Total Monthly Cost</t>
        </is>
      </c>
      <c r="Q1" s="1" t="inlineStr">
        <is>
          <t>Area Rental Price (Roommate)</t>
        </is>
      </c>
      <c r="R1" s="1" t="inlineStr">
        <is>
          <t>Net Monthly Cost</t>
        </is>
      </c>
      <c r="S1" s="1" t="inlineStr">
        <is>
          <t>Drive to MBTA (min)</t>
        </is>
      </c>
      <c r="T1" s="1" t="inlineStr">
        <is>
          <t>Drive to Seaport (min)</t>
        </is>
      </c>
      <c r="U1" s="1" t="inlineStr">
        <is>
          <t>Drive to Google (min)</t>
        </is>
      </c>
      <c r="V1" s="1" t="inlineStr">
        <is>
          <t>Rating Score</t>
        </is>
      </c>
      <c r="W1" s="1" t="inlineStr">
        <is>
          <t>Rating</t>
        </is>
      </c>
    </row>
    <row r="2">
      <c r="A2" s="6" t="inlineStr">
        <is>
          <t>0 Gordon Rd, Medford, MA 02155</t>
        </is>
      </c>
      <c r="B2" t="inlineStr">
        <is>
          <t>Medford</t>
        </is>
      </c>
      <c r="C2" s="7" t="inlineStr">
        <is>
          <t>https://www.redfin.com/MA/Medford/0-Gordon-Rd-02155/home/187063221</t>
        </is>
      </c>
      <c r="D2" s="5" t="n">
        <v>369000</v>
      </c>
      <c r="E2" s="5" t="n">
        <v>0</v>
      </c>
      <c r="F2" t="inlineStr">
        <is>
          <t>?bd/?ba</t>
        </is>
      </c>
      <c r="G2" s="4" t="n"/>
      <c r="H2" t="inlineStr">
        <is>
          <t>No</t>
        </is>
      </c>
      <c r="I2" t="inlineStr">
        <is>
          <t>Unknown</t>
        </is>
      </c>
      <c r="J2" s="5">
        <f>D2*Assumptions!B3</f>
        <v/>
      </c>
      <c r="K2" s="5">
        <f>D2-J2</f>
        <v/>
      </c>
      <c r="L2" s="5">
        <f>-PMT(Assumptions!B2/12,Assumptions!B4*12,K2)</f>
        <v/>
      </c>
      <c r="M2" s="5">
        <f>D2*Assumptions!B5/12</f>
        <v/>
      </c>
      <c r="N2" s="5">
        <f>Assumptions!B6</f>
        <v/>
      </c>
      <c r="O2" s="5">
        <f>Assumptions!B7+Assumptions!B8</f>
        <v/>
      </c>
      <c r="P2" s="5">
        <f>L2+E2+M2+N2+O2</f>
        <v/>
      </c>
      <c r="Q2" s="5" t="n">
        <v>1900</v>
      </c>
      <c r="R2" s="5">
        <f>P2-Q2</f>
        <v/>
      </c>
      <c r="S2" t="n">
        <v>5</v>
      </c>
      <c r="T2" t="n">
        <v>12.2</v>
      </c>
      <c r="U2" t="n">
        <v>12.4</v>
      </c>
      <c r="V2" s="8" t="n">
        <v>2.85</v>
      </c>
      <c r="W2" t="inlineStr">
        <is>
          <t>Green</t>
        </is>
      </c>
    </row>
    <row r="3">
      <c r="A3" s="6" t="inlineStr">
        <is>
          <t>88 Gordon St #305, Brighton, MA 02135</t>
        </is>
      </c>
      <c r="B3" t="inlineStr">
        <is>
          <t>Brighton</t>
        </is>
      </c>
      <c r="C3" s="7" t="inlineStr">
        <is>
          <t>https://www.redfin.com/MA/Brighton/88-Gordon-St-02135/unit-305/home/9012102</t>
        </is>
      </c>
      <c r="D3" s="5" t="n">
        <v>299000</v>
      </c>
      <c r="E3" s="5" t="n">
        <v>292</v>
      </c>
      <c r="F3" t="inlineStr">
        <is>
          <t>1bd/1.0ba</t>
        </is>
      </c>
      <c r="G3" s="4" t="n">
        <v>283</v>
      </c>
      <c r="H3" t="inlineStr">
        <is>
          <t>No</t>
        </is>
      </c>
      <c r="I3" t="inlineStr">
        <is>
          <t>0 spaces</t>
        </is>
      </c>
      <c r="J3" s="5">
        <f>D3*Assumptions!B3</f>
        <v/>
      </c>
      <c r="K3" s="5">
        <f>D3-J3</f>
        <v/>
      </c>
      <c r="L3" s="5">
        <f>-PMT(Assumptions!B2/12,Assumptions!B4*12,K3)</f>
        <v/>
      </c>
      <c r="M3" s="5">
        <f>D3*Assumptions!B5/12</f>
        <v/>
      </c>
      <c r="N3" s="5">
        <f>Assumptions!B6</f>
        <v/>
      </c>
      <c r="O3" s="5">
        <f>Assumptions!B7+Assumptions!B8</f>
        <v/>
      </c>
      <c r="P3" s="5">
        <f>L3+E3+M3+N3+O3</f>
        <v/>
      </c>
      <c r="Q3" s="5" t="n">
        <v>2000</v>
      </c>
      <c r="R3" s="5">
        <f>P3-Q3</f>
        <v/>
      </c>
      <c r="S3" t="n">
        <v>3.1</v>
      </c>
      <c r="T3" t="n">
        <v>12.6</v>
      </c>
      <c r="U3" t="n">
        <v>12.2</v>
      </c>
      <c r="V3" s="8" t="n">
        <v>2.7</v>
      </c>
      <c r="W3" t="inlineStr">
        <is>
          <t>Green</t>
        </is>
      </c>
    </row>
    <row r="4">
      <c r="A4" s="6" t="inlineStr">
        <is>
          <t>354 Market St #9, Brighton, MA 02135</t>
        </is>
      </c>
      <c r="B4" t="inlineStr">
        <is>
          <t>Brighton</t>
        </is>
      </c>
      <c r="C4" s="7" t="inlineStr">
        <is>
          <t>https://www.redfin.com/MA/Brighton/354-Market-St-02135/unit-9/home/9025930</t>
        </is>
      </c>
      <c r="D4" s="5" t="n">
        <v>374900</v>
      </c>
      <c r="E4" s="5" t="n">
        <v>310</v>
      </c>
      <c r="F4" t="inlineStr">
        <is>
          <t>1bd/1.0ba</t>
        </is>
      </c>
      <c r="G4" s="4" t="n">
        <v>590</v>
      </c>
      <c r="H4" t="inlineStr">
        <is>
          <t>No</t>
        </is>
      </c>
      <c r="I4" t="inlineStr">
        <is>
          <t>1 space</t>
        </is>
      </c>
      <c r="J4" s="5">
        <f>D4*Assumptions!B3</f>
        <v/>
      </c>
      <c r="K4" s="5">
        <f>D4-J4</f>
        <v/>
      </c>
      <c r="L4" s="5">
        <f>-PMT(Assumptions!B2/12,Assumptions!B4*12,K4)</f>
        <v/>
      </c>
      <c r="M4" s="5">
        <f>D4*Assumptions!B5/12</f>
        <v/>
      </c>
      <c r="N4" s="5">
        <f>Assumptions!B6</f>
        <v/>
      </c>
      <c r="O4" s="5">
        <f>Assumptions!B7+Assumptions!B8</f>
        <v/>
      </c>
      <c r="P4" s="5">
        <f>L4+E4+M4+N4+O4</f>
        <v/>
      </c>
      <c r="Q4" s="5" t="n">
        <v>2000</v>
      </c>
      <c r="R4" s="5">
        <f>P4-Q4</f>
        <v/>
      </c>
      <c r="S4" t="n">
        <v>2.3</v>
      </c>
      <c r="T4" t="n">
        <v>13.4</v>
      </c>
      <c r="U4" t="n">
        <v>13</v>
      </c>
      <c r="V4" s="8" t="n">
        <v>2.7</v>
      </c>
      <c r="W4" t="inlineStr">
        <is>
          <t>Green</t>
        </is>
      </c>
    </row>
    <row r="5">
      <c r="A5" s="6" t="inlineStr">
        <is>
          <t>1641 Commonwealth Ave #16, Brighton, MA 02135</t>
        </is>
      </c>
      <c r="B5" t="inlineStr">
        <is>
          <t>Brighton</t>
        </is>
      </c>
      <c r="C5" s="7" t="inlineStr">
        <is>
          <t>https://www.redfin.com/MA/Brighton/1641-Commonwealth-Ave-02135/unit-16/home/9002891</t>
        </is>
      </c>
      <c r="D5" s="5" t="n">
        <v>349000</v>
      </c>
      <c r="E5" s="5" t="n">
        <v>399</v>
      </c>
      <c r="F5" t="inlineStr">
        <is>
          <t>1bd/1.0ba</t>
        </is>
      </c>
      <c r="G5" s="4" t="n">
        <v>407</v>
      </c>
      <c r="H5" t="inlineStr">
        <is>
          <t>No</t>
        </is>
      </c>
      <c r="I5" t="inlineStr">
        <is>
          <t>0 spaces</t>
        </is>
      </c>
      <c r="J5" s="5">
        <f>D5*Assumptions!B3</f>
        <v/>
      </c>
      <c r="K5" s="5">
        <f>D5-J5</f>
        <v/>
      </c>
      <c r="L5" s="5">
        <f>-PMT(Assumptions!B2/12,Assumptions!B4*12,K5)</f>
        <v/>
      </c>
      <c r="M5" s="5">
        <f>D5*Assumptions!B5/12</f>
        <v/>
      </c>
      <c r="N5" s="5">
        <f>Assumptions!B6</f>
        <v/>
      </c>
      <c r="O5" s="5">
        <f>Assumptions!B7+Assumptions!B8</f>
        <v/>
      </c>
      <c r="P5" s="5">
        <f>L5+E5+M5+N5+O5</f>
        <v/>
      </c>
      <c r="Q5" s="5" t="n">
        <v>2000</v>
      </c>
      <c r="R5" s="5">
        <f>P5-Q5</f>
        <v/>
      </c>
      <c r="S5" t="n">
        <v>0.4</v>
      </c>
      <c r="T5" t="n">
        <v>15</v>
      </c>
      <c r="U5" t="n">
        <v>14.6</v>
      </c>
      <c r="V5" s="8" t="n">
        <v>2.7</v>
      </c>
      <c r="W5" t="inlineStr">
        <is>
          <t>Green</t>
        </is>
      </c>
    </row>
    <row r="6">
      <c r="A6" s="6" t="inlineStr">
        <is>
          <t>1564 Commonwealth Ave #3, Brighton, MA 02135</t>
        </is>
      </c>
      <c r="B6" t="inlineStr">
        <is>
          <t>Brighton</t>
        </is>
      </c>
      <c r="C6" s="7" t="inlineStr">
        <is>
          <t>https://www.redfin.com/MA/Brighton/1564-Commonwealth-Ave-02135/unit-3/home/9017145</t>
        </is>
      </c>
      <c r="D6" s="5" t="n">
        <v>315000</v>
      </c>
      <c r="E6" s="5" t="n">
        <v>369</v>
      </c>
      <c r="F6" t="inlineStr">
        <is>
          <t>?bd/1.0ba</t>
        </is>
      </c>
      <c r="G6" s="4" t="n">
        <v>306</v>
      </c>
      <c r="H6" t="inlineStr">
        <is>
          <t>No</t>
        </is>
      </c>
      <c r="I6" t="inlineStr">
        <is>
          <t>0 spaces</t>
        </is>
      </c>
      <c r="J6" s="5">
        <f>D6*Assumptions!B3</f>
        <v/>
      </c>
      <c r="K6" s="5">
        <f>D6-J6</f>
        <v/>
      </c>
      <c r="L6" s="5">
        <f>-PMT(Assumptions!B2/12,Assumptions!B4*12,K6)</f>
        <v/>
      </c>
      <c r="M6" s="5">
        <f>D6*Assumptions!B5/12</f>
        <v/>
      </c>
      <c r="N6" s="5">
        <f>Assumptions!B6</f>
        <v/>
      </c>
      <c r="O6" s="5">
        <f>Assumptions!B7+Assumptions!B8</f>
        <v/>
      </c>
      <c r="P6" s="5">
        <f>L6+E6+M6+N6+O6</f>
        <v/>
      </c>
      <c r="Q6" s="5" t="n">
        <v>2000</v>
      </c>
      <c r="R6" s="5">
        <f>P6-Q6</f>
        <v/>
      </c>
      <c r="S6" t="n">
        <v>2</v>
      </c>
      <c r="T6" t="n">
        <v>13.5</v>
      </c>
      <c r="U6" t="n">
        <v>13.1</v>
      </c>
      <c r="V6" s="8" t="n">
        <v>2.7</v>
      </c>
      <c r="W6" t="inlineStr">
        <is>
          <t>Green</t>
        </is>
      </c>
    </row>
    <row r="7">
      <c r="A7" s="6" t="inlineStr">
        <is>
          <t>198 Allston St #3, Brighton, MA 02134</t>
        </is>
      </c>
      <c r="B7" t="inlineStr">
        <is>
          <t>Brighton</t>
        </is>
      </c>
      <c r="C7" s="7" t="inlineStr">
        <is>
          <t>https://www.redfin.com/MA/Brighton/198-Allston-St-02135/unit-3/home/9013031</t>
        </is>
      </c>
      <c r="D7" s="5" t="n">
        <v>270000</v>
      </c>
      <c r="E7" s="5" t="n">
        <v>295</v>
      </c>
      <c r="F7" t="inlineStr">
        <is>
          <t>1bd/1.0ba</t>
        </is>
      </c>
      <c r="G7" s="4" t="n">
        <v>318</v>
      </c>
      <c r="H7" t="inlineStr">
        <is>
          <t>No</t>
        </is>
      </c>
      <c r="I7" t="inlineStr">
        <is>
          <t>0 spaces</t>
        </is>
      </c>
      <c r="J7" s="5">
        <f>D7*Assumptions!B3</f>
        <v/>
      </c>
      <c r="K7" s="5">
        <f>D7-J7</f>
        <v/>
      </c>
      <c r="L7" s="5">
        <f>-PMT(Assumptions!B2/12,Assumptions!B4*12,K7)</f>
        <v/>
      </c>
      <c r="M7" s="5">
        <f>D7*Assumptions!B5/12</f>
        <v/>
      </c>
      <c r="N7" s="5">
        <f>Assumptions!B6</f>
        <v/>
      </c>
      <c r="O7" s="5">
        <f>Assumptions!B7+Assumptions!B8</f>
        <v/>
      </c>
      <c r="P7" s="5">
        <f>L7+E7+M7+N7+O7</f>
        <v/>
      </c>
      <c r="Q7" s="5" t="n">
        <v>2000</v>
      </c>
      <c r="R7" s="5">
        <f>P7-Q7</f>
        <v/>
      </c>
      <c r="S7" t="n">
        <v>0.8</v>
      </c>
      <c r="T7" t="n">
        <v>12.4</v>
      </c>
      <c r="U7" t="n">
        <v>12</v>
      </c>
      <c r="V7" s="8" t="n">
        <v>2.7</v>
      </c>
      <c r="W7" t="inlineStr">
        <is>
          <t>Green</t>
        </is>
      </c>
    </row>
    <row r="8">
      <c r="A8" s="6" t="inlineStr">
        <is>
          <t>32 Almont St Unit 32-1, Medford, MA 02155</t>
        </is>
      </c>
      <c r="B8" t="inlineStr">
        <is>
          <t>Medford</t>
        </is>
      </c>
      <c r="C8" s="7" t="inlineStr">
        <is>
          <t>https://www.redfin.com/MA/Medford/32-Almont-St-02155/unit-32-1/home/11802621</t>
        </is>
      </c>
      <c r="D8" s="5" t="n">
        <v>330000</v>
      </c>
      <c r="E8" s="5" t="n">
        <v>241</v>
      </c>
      <c r="F8" t="inlineStr">
        <is>
          <t>1bd/1.0ba</t>
        </is>
      </c>
      <c r="G8" s="4" t="n">
        <v>528</v>
      </c>
      <c r="H8" t="inlineStr">
        <is>
          <t>No</t>
        </is>
      </c>
      <c r="I8" t="inlineStr">
        <is>
          <t>0 spaces</t>
        </is>
      </c>
      <c r="J8" s="5">
        <f>D8*Assumptions!B3</f>
        <v/>
      </c>
      <c r="K8" s="5">
        <f>D8-J8</f>
        <v/>
      </c>
      <c r="L8" s="5">
        <f>-PMT(Assumptions!B2/12,Assumptions!B4*12,K8)</f>
        <v/>
      </c>
      <c r="M8" s="5">
        <f>D8*Assumptions!B5/12</f>
        <v/>
      </c>
      <c r="N8" s="5">
        <f>Assumptions!B6</f>
        <v/>
      </c>
      <c r="O8" s="5">
        <f>Assumptions!B7+Assumptions!B8</f>
        <v/>
      </c>
      <c r="P8" s="5">
        <f>L8+E8+M8+N8+O8</f>
        <v/>
      </c>
      <c r="Q8" s="5" t="n">
        <v>1900</v>
      </c>
      <c r="R8" s="5">
        <f>P8-Q8</f>
        <v/>
      </c>
      <c r="S8" t="n">
        <v>3.4</v>
      </c>
      <c r="T8" t="n">
        <v>11.4</v>
      </c>
      <c r="U8" t="n">
        <v>11.2</v>
      </c>
      <c r="V8" s="8" t="n">
        <v>2.7</v>
      </c>
      <c r="W8" t="inlineStr">
        <is>
          <t>Green</t>
        </is>
      </c>
    </row>
    <row r="9">
      <c r="A9" s="6" t="inlineStr">
        <is>
          <t>45 Gordon St #4, Allston, MA 02134</t>
        </is>
      </c>
      <c r="B9" t="inlineStr">
        <is>
          <t>Allston</t>
        </is>
      </c>
      <c r="C9" s="7" t="inlineStr">
        <is>
          <t>https://www.redfin.com/MA/Allston/45-Gordon-St-02134/unit-4/home/8999903</t>
        </is>
      </c>
      <c r="D9" s="5" t="n">
        <v>489000</v>
      </c>
      <c r="E9" s="5" t="n">
        <v>350</v>
      </c>
      <c r="F9" t="inlineStr">
        <is>
          <t>2bd/1.0ba</t>
        </is>
      </c>
      <c r="G9" s="4" t="n">
        <v>675</v>
      </c>
      <c r="H9" t="inlineStr">
        <is>
          <t>No</t>
        </is>
      </c>
      <c r="I9" t="inlineStr">
        <is>
          <t>0 spaces</t>
        </is>
      </c>
      <c r="J9" s="5">
        <f>D9*Assumptions!B3</f>
        <v/>
      </c>
      <c r="K9" s="5">
        <f>D9-J9</f>
        <v/>
      </c>
      <c r="L9" s="5">
        <f>-PMT(Assumptions!B2/12,Assumptions!B4*12,K9)</f>
        <v/>
      </c>
      <c r="M9" s="5">
        <f>D9*Assumptions!B5/12</f>
        <v/>
      </c>
      <c r="N9" s="5">
        <f>Assumptions!B6</f>
        <v/>
      </c>
      <c r="O9" s="5">
        <f>Assumptions!B7+Assumptions!B8</f>
        <v/>
      </c>
      <c r="P9" s="5">
        <f>L9+E9+M9+N9+O9</f>
        <v/>
      </c>
      <c r="Q9" s="5" t="n">
        <v>1900</v>
      </c>
      <c r="R9" s="5">
        <f>P9-Q9</f>
        <v/>
      </c>
      <c r="S9" t="n">
        <v>3</v>
      </c>
      <c r="T9" t="n">
        <v>11.2</v>
      </c>
      <c r="U9" t="n">
        <v>10.9</v>
      </c>
      <c r="V9" s="8" t="n">
        <v>2.6</v>
      </c>
      <c r="W9" t="inlineStr">
        <is>
          <t>Green</t>
        </is>
      </c>
    </row>
    <row r="10">
      <c r="A10" s="6" t="inlineStr">
        <is>
          <t>88 Gordon St #304, Brighton, MA 02135</t>
        </is>
      </c>
      <c r="B10" t="inlineStr">
        <is>
          <t>Brighton</t>
        </is>
      </c>
      <c r="C10" s="7" t="inlineStr">
        <is>
          <t>https://www.redfin.com/MA/Brighton/88-Gordon-St-02135/unit-304/home/9226535</t>
        </is>
      </c>
      <c r="D10" s="5" t="n">
        <v>399000</v>
      </c>
      <c r="E10" s="5" t="n">
        <v>436</v>
      </c>
      <c r="F10" t="inlineStr">
        <is>
          <t>1bd/1.0ba</t>
        </is>
      </c>
      <c r="G10" s="4" t="n">
        <v>533</v>
      </c>
      <c r="H10" t="inlineStr">
        <is>
          <t>No</t>
        </is>
      </c>
      <c r="I10" t="inlineStr">
        <is>
          <t>1 space</t>
        </is>
      </c>
      <c r="J10" s="5">
        <f>D10*Assumptions!B3</f>
        <v/>
      </c>
      <c r="K10" s="5">
        <f>D10-J10</f>
        <v/>
      </c>
      <c r="L10" s="5">
        <f>-PMT(Assumptions!B2/12,Assumptions!B4*12,K10)</f>
        <v/>
      </c>
      <c r="M10" s="5">
        <f>D10*Assumptions!B5/12</f>
        <v/>
      </c>
      <c r="N10" s="5">
        <f>Assumptions!B6</f>
        <v/>
      </c>
      <c r="O10" s="5">
        <f>Assumptions!B7+Assumptions!B8</f>
        <v/>
      </c>
      <c r="P10" s="5">
        <f>L10+E10+M10+N10+O10</f>
        <v/>
      </c>
      <c r="Q10" s="5" t="n">
        <v>2000</v>
      </c>
      <c r="R10" s="5">
        <f>P10-Q10</f>
        <v/>
      </c>
      <c r="S10" t="n">
        <v>3.1</v>
      </c>
      <c r="T10" t="n">
        <v>12.6</v>
      </c>
      <c r="U10" t="n">
        <v>12.2</v>
      </c>
      <c r="V10" s="8" t="n">
        <v>2.6</v>
      </c>
      <c r="W10" t="inlineStr">
        <is>
          <t>Green</t>
        </is>
      </c>
    </row>
    <row r="11">
      <c r="A11" s="6" t="inlineStr">
        <is>
          <t>7 Cypress Rd #703, Brighton, MA 02135</t>
        </is>
      </c>
      <c r="B11" t="inlineStr">
        <is>
          <t>Brighton</t>
        </is>
      </c>
      <c r="C11" s="7" t="inlineStr">
        <is>
          <t>https://www.redfin.com/MA/Brighton/7-Cypress-Rd-02135/unit-703/home/9016137</t>
        </is>
      </c>
      <c r="D11" s="5" t="n">
        <v>448000</v>
      </c>
      <c r="E11" s="5" t="n">
        <v>315</v>
      </c>
      <c r="F11" t="inlineStr">
        <is>
          <t>2bd/1.0ba</t>
        </is>
      </c>
      <c r="G11" s="4" t="n">
        <v>576</v>
      </c>
      <c r="H11" t="inlineStr">
        <is>
          <t>No</t>
        </is>
      </c>
      <c r="I11" t="inlineStr">
        <is>
          <t>1 space</t>
        </is>
      </c>
      <c r="J11" s="5">
        <f>D11*Assumptions!B3</f>
        <v/>
      </c>
      <c r="K11" s="5">
        <f>D11-J11</f>
        <v/>
      </c>
      <c r="L11" s="5">
        <f>-PMT(Assumptions!B2/12,Assumptions!B4*12,K11)</f>
        <v/>
      </c>
      <c r="M11" s="5">
        <f>D11*Assumptions!B5/12</f>
        <v/>
      </c>
      <c r="N11" s="5">
        <f>Assumptions!B6</f>
        <v/>
      </c>
      <c r="O11" s="5">
        <f>Assumptions!B7+Assumptions!B8</f>
        <v/>
      </c>
      <c r="P11" s="5">
        <f>L11+E11+M11+N11+O11</f>
        <v/>
      </c>
      <c r="Q11" s="5" t="n">
        <v>2000</v>
      </c>
      <c r="R11" s="5">
        <f>P11-Q11</f>
        <v/>
      </c>
      <c r="S11" t="n">
        <v>3.1</v>
      </c>
      <c r="T11" t="n">
        <v>13.2</v>
      </c>
      <c r="U11" t="n">
        <v>12.8</v>
      </c>
      <c r="V11" s="8" t="n">
        <v>2.6</v>
      </c>
      <c r="W11" t="inlineStr">
        <is>
          <t>Green</t>
        </is>
      </c>
    </row>
    <row r="12">
      <c r="A12" s="6" t="inlineStr">
        <is>
          <t>15 Commonwealth Ct #10, Brighton, MA 02135</t>
        </is>
      </c>
      <c r="B12" t="inlineStr">
        <is>
          <t>Brighton</t>
        </is>
      </c>
      <c r="C12" s="7" t="inlineStr">
        <is>
          <t>https://www.redfin.com/MA/Brighton/15-Commonwealth-Ct-02135/unit-10/home/9014600</t>
        </is>
      </c>
      <c r="D12" s="5" t="n">
        <v>379900</v>
      </c>
      <c r="E12" s="5" t="n">
        <v>500</v>
      </c>
      <c r="F12" t="inlineStr">
        <is>
          <t>1bd/1.0ba</t>
        </is>
      </c>
      <c r="G12" s="4" t="n">
        <v>688</v>
      </c>
      <c r="H12" t="inlineStr">
        <is>
          <t>No</t>
        </is>
      </c>
      <c r="I12" t="inlineStr">
        <is>
          <t>1 space</t>
        </is>
      </c>
      <c r="J12" s="5">
        <f>D12*Assumptions!B3</f>
        <v/>
      </c>
      <c r="K12" s="5">
        <f>D12-J12</f>
        <v/>
      </c>
      <c r="L12" s="5">
        <f>-PMT(Assumptions!B2/12,Assumptions!B4*12,K12)</f>
        <v/>
      </c>
      <c r="M12" s="5">
        <f>D12*Assumptions!B5/12</f>
        <v/>
      </c>
      <c r="N12" s="5">
        <f>Assumptions!B6</f>
        <v/>
      </c>
      <c r="O12" s="5">
        <f>Assumptions!B7+Assumptions!B8</f>
        <v/>
      </c>
      <c r="P12" s="5">
        <f>L12+E12+M12+N12+O12</f>
        <v/>
      </c>
      <c r="Q12" s="5" t="n">
        <v>2000</v>
      </c>
      <c r="R12" s="5">
        <f>P12-Q12</f>
        <v/>
      </c>
      <c r="S12" t="n">
        <v>1.2</v>
      </c>
      <c r="T12" t="n">
        <v>12.8</v>
      </c>
      <c r="U12" t="n">
        <v>12.4</v>
      </c>
      <c r="V12" s="8" t="n">
        <v>2.6</v>
      </c>
      <c r="W12" t="inlineStr">
        <is>
          <t>Green</t>
        </is>
      </c>
    </row>
    <row r="13">
      <c r="A13" s="6" t="inlineStr">
        <is>
          <t>50 Water St #24, Medford, MA 02155</t>
        </is>
      </c>
      <c r="B13" t="inlineStr">
        <is>
          <t>Medford</t>
        </is>
      </c>
      <c r="C13" s="7" t="inlineStr">
        <is>
          <t>https://www.redfin.com/MA/Medford/50-Water-St-02155/unit-24/home/11787534</t>
        </is>
      </c>
      <c r="D13" s="5" t="n">
        <v>389900</v>
      </c>
      <c r="E13" s="5" t="n">
        <v>465</v>
      </c>
      <c r="F13" t="inlineStr">
        <is>
          <t>1bd/1.0ba</t>
        </is>
      </c>
      <c r="G13" s="4" t="n">
        <v>634</v>
      </c>
      <c r="H13" t="inlineStr">
        <is>
          <t>No</t>
        </is>
      </c>
      <c r="I13" t="inlineStr">
        <is>
          <t>1 space</t>
        </is>
      </c>
      <c r="J13" s="5">
        <f>D13*Assumptions!B3</f>
        <v/>
      </c>
      <c r="K13" s="5">
        <f>D13-J13</f>
        <v/>
      </c>
      <c r="L13" s="5">
        <f>-PMT(Assumptions!B2/12,Assumptions!B4*12,K13)</f>
        <v/>
      </c>
      <c r="M13" s="5">
        <f>D13*Assumptions!B5/12</f>
        <v/>
      </c>
      <c r="N13" s="5">
        <f>Assumptions!B6</f>
        <v/>
      </c>
      <c r="O13" s="5">
        <f>Assumptions!B7+Assumptions!B8</f>
        <v/>
      </c>
      <c r="P13" s="5">
        <f>L13+E13+M13+N13+O13</f>
        <v/>
      </c>
      <c r="Q13" s="5" t="n">
        <v>1900</v>
      </c>
      <c r="R13" s="5">
        <f>P13-Q13</f>
        <v/>
      </c>
      <c r="S13" t="n">
        <v>3.5</v>
      </c>
      <c r="T13" t="n">
        <v>10.3</v>
      </c>
      <c r="U13" t="n">
        <v>10.5</v>
      </c>
      <c r="V13" s="8" t="n">
        <v>2.6</v>
      </c>
      <c r="W13" t="inlineStr">
        <is>
          <t>Green</t>
        </is>
      </c>
    </row>
    <row r="14">
      <c r="A14" s="6" t="inlineStr">
        <is>
          <t>5 Braemore Rd #10, Brighton, MA 02135</t>
        </is>
      </c>
      <c r="B14" t="inlineStr">
        <is>
          <t>Brighton</t>
        </is>
      </c>
      <c r="C14" s="7" t="inlineStr">
        <is>
          <t>https://www.redfin.com/MA/Brighton/5-Braemore-Rd-02135/unit-10/home/9308549</t>
        </is>
      </c>
      <c r="D14" s="5" t="n">
        <v>315000</v>
      </c>
      <c r="E14" s="5" t="n">
        <v>352</v>
      </c>
      <c r="F14" t="inlineStr">
        <is>
          <t>1bd/1.0ba</t>
        </is>
      </c>
      <c r="G14" s="4" t="n">
        <v>385</v>
      </c>
      <c r="H14" t="inlineStr">
        <is>
          <t>No</t>
        </is>
      </c>
      <c r="I14" t="inlineStr">
        <is>
          <t>0 spaces</t>
        </is>
      </c>
      <c r="J14" s="5">
        <f>D14*Assumptions!B3</f>
        <v/>
      </c>
      <c r="K14" s="5">
        <f>D14-J14</f>
        <v/>
      </c>
      <c r="L14" s="5">
        <f>-PMT(Assumptions!B2/12,Assumptions!B4*12,K14)</f>
        <v/>
      </c>
      <c r="M14" s="5">
        <f>D14*Assumptions!B5/12</f>
        <v/>
      </c>
      <c r="N14" s="5">
        <f>Assumptions!B6</f>
        <v/>
      </c>
      <c r="O14" s="5">
        <f>Assumptions!B7+Assumptions!B8</f>
        <v/>
      </c>
      <c r="P14" s="5">
        <f>L14+E14+M14+N14+O14</f>
        <v/>
      </c>
      <c r="Q14" s="5" t="n">
        <v>2000</v>
      </c>
      <c r="R14" s="5">
        <f>P14-Q14</f>
        <v/>
      </c>
      <c r="S14" t="n">
        <v>1.7</v>
      </c>
      <c r="T14" t="n">
        <v>15.9</v>
      </c>
      <c r="U14" t="n">
        <v>14.1</v>
      </c>
      <c r="V14" s="8" t="n">
        <v>2.55</v>
      </c>
      <c r="W14" t="inlineStr">
        <is>
          <t>Green</t>
        </is>
      </c>
    </row>
    <row r="15">
      <c r="A15" s="6" t="inlineStr">
        <is>
          <t>24 South St #38, Medford, MA 02155</t>
        </is>
      </c>
      <c r="B15" t="inlineStr">
        <is>
          <t>Medford</t>
        </is>
      </c>
      <c r="C15" s="7" t="inlineStr">
        <is>
          <t>https://www.redfin.com/MA/Medford/24-South-St-02155/unit-38/home/11792951</t>
        </is>
      </c>
      <c r="D15" s="5" t="n">
        <v>449900</v>
      </c>
      <c r="E15" s="5" t="n">
        <v>347</v>
      </c>
      <c r="F15" t="inlineStr">
        <is>
          <t>1bd/1.5ba</t>
        </is>
      </c>
      <c r="G15" s="4" t="n">
        <v>757</v>
      </c>
      <c r="H15" t="inlineStr">
        <is>
          <t>No</t>
        </is>
      </c>
      <c r="I15" t="inlineStr">
        <is>
          <t>1 space</t>
        </is>
      </c>
      <c r="J15" s="5">
        <f>D15*Assumptions!B3</f>
        <v/>
      </c>
      <c r="K15" s="5">
        <f>D15-J15</f>
        <v/>
      </c>
      <c r="L15" s="5">
        <f>-PMT(Assumptions!B2/12,Assumptions!B4*12,K15)</f>
        <v/>
      </c>
      <c r="M15" s="5">
        <f>D15*Assumptions!B5/12</f>
        <v/>
      </c>
      <c r="N15" s="5">
        <f>Assumptions!B6</f>
        <v/>
      </c>
      <c r="O15" s="5">
        <f>Assumptions!B7+Assumptions!B8</f>
        <v/>
      </c>
      <c r="P15" s="5">
        <f>L15+E15+M15+N15+O15</f>
        <v/>
      </c>
      <c r="Q15" s="5" t="n">
        <v>1900</v>
      </c>
      <c r="R15" s="5">
        <f>P15-Q15</f>
        <v/>
      </c>
      <c r="S15" t="n">
        <v>2.2</v>
      </c>
      <c r="T15" t="n">
        <v>11.2</v>
      </c>
      <c r="U15" t="n">
        <v>10.3</v>
      </c>
      <c r="V15" s="8" t="n">
        <v>2.55</v>
      </c>
      <c r="W15" t="inlineStr">
        <is>
          <t>Green</t>
        </is>
      </c>
    </row>
    <row r="16">
      <c r="A16" s="6" t="inlineStr">
        <is>
          <t>1-Bedroom Plan, Quincy, MA 02169</t>
        </is>
      </c>
      <c r="B16" t="inlineStr">
        <is>
          <t>Quincy</t>
        </is>
      </c>
      <c r="C16" s="7" t="inlineStr">
        <is>
          <t>https://www.redfin.com/MA/Quincy/Quincy/1-Bedroom/home/197950895</t>
        </is>
      </c>
      <c r="D16" s="5" t="n">
        <v>399000</v>
      </c>
      <c r="E16" s="5" t="n">
        <v>0</v>
      </c>
      <c r="F16" t="inlineStr">
        <is>
          <t>1bd/1.0ba</t>
        </is>
      </c>
      <c r="G16" s="4" t="n">
        <v>500</v>
      </c>
      <c r="H16" t="inlineStr">
        <is>
          <t>No</t>
        </is>
      </c>
      <c r="I16" t="inlineStr">
        <is>
          <t>Unknown</t>
        </is>
      </c>
      <c r="J16" s="5">
        <f>D16*Assumptions!B3</f>
        <v/>
      </c>
      <c r="K16" s="5">
        <f>D16-J16</f>
        <v/>
      </c>
      <c r="L16" s="5">
        <f>-PMT(Assumptions!B2/12,Assumptions!B4*12,K16)</f>
        <v/>
      </c>
      <c r="M16" s="5">
        <f>D16*Assumptions!B5/12</f>
        <v/>
      </c>
      <c r="N16" s="5">
        <f>Assumptions!B6</f>
        <v/>
      </c>
      <c r="O16" s="5">
        <f>Assumptions!B7+Assumptions!B8</f>
        <v/>
      </c>
      <c r="P16" s="5">
        <f>L16+E16+M16+N16+O16</f>
        <v/>
      </c>
      <c r="Q16" s="5" t="n">
        <v>1800</v>
      </c>
      <c r="R16" s="5">
        <f>P16-Q16</f>
        <v/>
      </c>
      <c r="S16" t="n">
        <v>1.4</v>
      </c>
      <c r="T16" t="n">
        <v>17.1</v>
      </c>
      <c r="U16" t="n">
        <v>21.2</v>
      </c>
      <c r="V16" s="8" t="n">
        <v>2.55</v>
      </c>
      <c r="W16" t="inlineStr">
        <is>
          <t>Green</t>
        </is>
      </c>
    </row>
    <row r="17">
      <c r="A17" s="6" t="inlineStr">
        <is>
          <t>239 Kelton St #41, Allston, MA 02134</t>
        </is>
      </c>
      <c r="B17" t="inlineStr">
        <is>
          <t>Allston</t>
        </is>
      </c>
      <c r="C17" s="7" t="inlineStr">
        <is>
          <t>https://www.redfin.com/MA/Allston/239-Kelton-St-02134/unit-41/home/9001010</t>
        </is>
      </c>
      <c r="D17" s="5" t="n">
        <v>475000</v>
      </c>
      <c r="E17" s="5" t="n">
        <v>497</v>
      </c>
      <c r="F17" t="inlineStr">
        <is>
          <t>2bd/1.0ba</t>
        </is>
      </c>
      <c r="G17" s="4" t="n">
        <v>690</v>
      </c>
      <c r="H17" t="inlineStr">
        <is>
          <t>No</t>
        </is>
      </c>
      <c r="I17" t="inlineStr">
        <is>
          <t>0 spaces</t>
        </is>
      </c>
      <c r="J17" s="5">
        <f>D17*Assumptions!B3</f>
        <v/>
      </c>
      <c r="K17" s="5">
        <f>D17-J17</f>
        <v/>
      </c>
      <c r="L17" s="5">
        <f>-PMT(Assumptions!B2/12,Assumptions!B4*12,K17)</f>
        <v/>
      </c>
      <c r="M17" s="5">
        <f>D17*Assumptions!B5/12</f>
        <v/>
      </c>
      <c r="N17" s="5">
        <f>Assumptions!B6</f>
        <v/>
      </c>
      <c r="O17" s="5">
        <f>Assumptions!B7+Assumptions!B8</f>
        <v/>
      </c>
      <c r="P17" s="5">
        <f>L17+E17+M17+N17+O17</f>
        <v/>
      </c>
      <c r="Q17" s="5" t="n">
        <v>1900</v>
      </c>
      <c r="R17" s="5">
        <f>P17-Q17</f>
        <v/>
      </c>
      <c r="S17" t="n">
        <v>2.6</v>
      </c>
      <c r="T17" t="n">
        <v>12.9</v>
      </c>
      <c r="U17" t="n">
        <v>12.5</v>
      </c>
      <c r="V17" s="8" t="n">
        <v>2.5</v>
      </c>
      <c r="W17" t="inlineStr">
        <is>
          <t>Green</t>
        </is>
      </c>
    </row>
    <row r="18">
      <c r="A18" s="6" t="inlineStr">
        <is>
          <t>10 Scottfield Rd #2, Allston, MA 02134</t>
        </is>
      </c>
      <c r="B18" t="inlineStr">
        <is>
          <t>Allston</t>
        </is>
      </c>
      <c r="C18" s="7" t="inlineStr">
        <is>
          <t>https://www.redfin.com/MA/Allston/10-Scottfield-Rd-02134/unit-2/home/9000250</t>
        </is>
      </c>
      <c r="D18" s="5" t="n">
        <v>474900</v>
      </c>
      <c r="E18" s="5" t="n">
        <v>408</v>
      </c>
      <c r="F18" t="inlineStr">
        <is>
          <t>2bd/1.0ba</t>
        </is>
      </c>
      <c r="G18" s="4" t="n">
        <v>746</v>
      </c>
      <c r="H18" t="inlineStr">
        <is>
          <t>No</t>
        </is>
      </c>
      <c r="I18" t="inlineStr">
        <is>
          <t>0 spaces</t>
        </is>
      </c>
      <c r="J18" s="5">
        <f>D18*Assumptions!B3</f>
        <v/>
      </c>
      <c r="K18" s="5">
        <f>D18-J18</f>
        <v/>
      </c>
      <c r="L18" s="5">
        <f>-PMT(Assumptions!B2/12,Assumptions!B4*12,K18)</f>
        <v/>
      </c>
      <c r="M18" s="5">
        <f>D18*Assumptions!B5/12</f>
        <v/>
      </c>
      <c r="N18" s="5">
        <f>Assumptions!B6</f>
        <v/>
      </c>
      <c r="O18" s="5">
        <f>Assumptions!B7+Assumptions!B8</f>
        <v/>
      </c>
      <c r="P18" s="5">
        <f>L18+E18+M18+N18+O18</f>
        <v/>
      </c>
      <c r="Q18" s="5" t="n">
        <v>1900</v>
      </c>
      <c r="R18" s="5">
        <f>P18-Q18</f>
        <v/>
      </c>
      <c r="S18" t="n">
        <v>2</v>
      </c>
      <c r="T18" t="n">
        <v>12.2</v>
      </c>
      <c r="U18" t="n">
        <v>11.8</v>
      </c>
      <c r="V18" s="8" t="n">
        <v>2.5</v>
      </c>
      <c r="W18" t="inlineStr">
        <is>
          <t>Green</t>
        </is>
      </c>
    </row>
    <row r="19">
      <c r="A19" s="6" t="inlineStr">
        <is>
          <t>1691 Commonwealth Ave #31, Brighton, MA 02135</t>
        </is>
      </c>
      <c r="B19" t="inlineStr">
        <is>
          <t>Brighton</t>
        </is>
      </c>
      <c r="C19" s="7" t="inlineStr">
        <is>
          <t>https://www.redfin.com/MA/Brighton/1691-Commonwealth-Ave-02135/unit-31/home/9020583</t>
        </is>
      </c>
      <c r="D19" s="5" t="n">
        <v>414900</v>
      </c>
      <c r="E19" s="5" t="n">
        <v>360</v>
      </c>
      <c r="F19" t="inlineStr">
        <is>
          <t>1bd/1.0ba</t>
        </is>
      </c>
      <c r="G19" s="4" t="n">
        <v>520</v>
      </c>
      <c r="H19" t="inlineStr">
        <is>
          <t>No</t>
        </is>
      </c>
      <c r="I19" t="inlineStr">
        <is>
          <t>0 spaces</t>
        </is>
      </c>
      <c r="J19" s="5">
        <f>D19*Assumptions!B3</f>
        <v/>
      </c>
      <c r="K19" s="5">
        <f>D19-J19</f>
        <v/>
      </c>
      <c r="L19" s="5">
        <f>-PMT(Assumptions!B2/12,Assumptions!B4*12,K19)</f>
        <v/>
      </c>
      <c r="M19" s="5">
        <f>D19*Assumptions!B5/12</f>
        <v/>
      </c>
      <c r="N19" s="5">
        <f>Assumptions!B6</f>
        <v/>
      </c>
      <c r="O19" s="5">
        <f>Assumptions!B7+Assumptions!B8</f>
        <v/>
      </c>
      <c r="P19" s="5">
        <f>L19+E19+M19+N19+O19</f>
        <v/>
      </c>
      <c r="Q19" s="5" t="n">
        <v>2000</v>
      </c>
      <c r="R19" s="5">
        <f>P19-Q19</f>
        <v/>
      </c>
      <c r="S19" t="n">
        <v>1.6</v>
      </c>
      <c r="T19" t="n">
        <v>14.9</v>
      </c>
      <c r="U19" t="n">
        <v>14.5</v>
      </c>
      <c r="V19" s="8" t="n">
        <v>2.5</v>
      </c>
      <c r="W19" t="inlineStr">
        <is>
          <t>Green</t>
        </is>
      </c>
    </row>
    <row r="20">
      <c r="A20" s="6" t="inlineStr">
        <is>
          <t>461 Washington St #301, Brighton, MA 02135</t>
        </is>
      </c>
      <c r="B20" t="inlineStr">
        <is>
          <t>Brighton</t>
        </is>
      </c>
      <c r="C20" s="7" t="inlineStr">
        <is>
          <t>https://www.redfin.com/MA/Brighton/461-Washington-St-02135/unit-301/home/11503967</t>
        </is>
      </c>
      <c r="D20" s="5" t="n">
        <v>419900</v>
      </c>
      <c r="E20" s="5" t="n">
        <v>431</v>
      </c>
      <c r="F20" t="inlineStr">
        <is>
          <t>2bd/1.0ba</t>
        </is>
      </c>
      <c r="G20" s="4" t="n">
        <v>696</v>
      </c>
      <c r="H20" t="inlineStr">
        <is>
          <t>No</t>
        </is>
      </c>
      <c r="I20" t="inlineStr">
        <is>
          <t>0 spaces</t>
        </is>
      </c>
      <c r="J20" s="5">
        <f>D20*Assumptions!B3</f>
        <v/>
      </c>
      <c r="K20" s="5">
        <f>D20-J20</f>
        <v/>
      </c>
      <c r="L20" s="5">
        <f>-PMT(Assumptions!B2/12,Assumptions!B4*12,K20)</f>
        <v/>
      </c>
      <c r="M20" s="5">
        <f>D20*Assumptions!B5/12</f>
        <v/>
      </c>
      <c r="N20" s="5">
        <f>Assumptions!B6</f>
        <v/>
      </c>
      <c r="O20" s="5">
        <f>Assumptions!B7+Assumptions!B8</f>
        <v/>
      </c>
      <c r="P20" s="5">
        <f>L20+E20+M20+N20+O20</f>
        <v/>
      </c>
      <c r="Q20" s="5" t="n">
        <v>2000</v>
      </c>
      <c r="R20" s="5">
        <f>P20-Q20</f>
        <v/>
      </c>
      <c r="S20" t="n">
        <v>2.9</v>
      </c>
      <c r="T20" t="n">
        <v>14.6</v>
      </c>
      <c r="U20" t="n">
        <v>14.2</v>
      </c>
      <c r="V20" s="8" t="n">
        <v>2.5</v>
      </c>
      <c r="W20" t="inlineStr">
        <is>
          <t>Green</t>
        </is>
      </c>
    </row>
    <row r="21">
      <c r="A21" s="6" t="inlineStr">
        <is>
          <t>5 Cooney St #3, Somerville, MA 02143</t>
        </is>
      </c>
      <c r="B21" t="inlineStr">
        <is>
          <t>Somerville</t>
        </is>
      </c>
      <c r="C21" s="7" t="inlineStr">
        <is>
          <t>https://www.redfin.com/MA/Somerville/5-Cooney-St-02143/unit-3/home/40421808</t>
        </is>
      </c>
      <c r="D21" s="5" t="n">
        <v>597000</v>
      </c>
      <c r="E21" s="5" t="n">
        <v>200</v>
      </c>
      <c r="F21" t="inlineStr">
        <is>
          <t>3bd/1.0ba</t>
        </is>
      </c>
      <c r="G21" s="4" t="n">
        <v>741</v>
      </c>
      <c r="H21" t="inlineStr">
        <is>
          <t>No</t>
        </is>
      </c>
      <c r="I21" t="inlineStr">
        <is>
          <t>0 spaces</t>
        </is>
      </c>
      <c r="J21" s="5">
        <f>D21*Assumptions!B3</f>
        <v/>
      </c>
      <c r="K21" s="5">
        <f>D21-J21</f>
        <v/>
      </c>
      <c r="L21" s="5">
        <f>-PMT(Assumptions!B2/12,Assumptions!B4*12,K21)</f>
        <v/>
      </c>
      <c r="M21" s="5">
        <f>D21*Assumptions!B5/12</f>
        <v/>
      </c>
      <c r="N21" s="5">
        <f>Assumptions!B6</f>
        <v/>
      </c>
      <c r="O21" s="5">
        <f>Assumptions!B7+Assumptions!B8</f>
        <v/>
      </c>
      <c r="P21" s="5">
        <f>L21+E21+M21+N21+O21</f>
        <v/>
      </c>
      <c r="Q21" s="5" t="n">
        <v>2300</v>
      </c>
      <c r="R21" s="5">
        <f>P21-Q21</f>
        <v/>
      </c>
      <c r="S21" t="n">
        <v>4.5</v>
      </c>
      <c r="T21" t="n">
        <v>12.8</v>
      </c>
      <c r="U21" t="n">
        <v>6.9</v>
      </c>
      <c r="V21" s="8" t="n">
        <v>2.5</v>
      </c>
      <c r="W21" t="inlineStr">
        <is>
          <t>Green</t>
        </is>
      </c>
    </row>
    <row r="22">
      <c r="A22" s="6" t="inlineStr">
        <is>
          <t>17 Buckingham St #3, Somerville, MA 02143</t>
        </is>
      </c>
      <c r="B22" t="inlineStr">
        <is>
          <t>Somerville</t>
        </is>
      </c>
      <c r="C22" s="7" t="inlineStr">
        <is>
          <t>https://www.redfin.com/MA/Somerville/17-Buckingham-St-02143/unit-3/home/200344678</t>
        </is>
      </c>
      <c r="D22" s="5" t="n">
        <v>499999</v>
      </c>
      <c r="E22" s="5" t="n">
        <v>233</v>
      </c>
      <c r="F22" t="inlineStr">
        <is>
          <t>1bd/1.0ba</t>
        </is>
      </c>
      <c r="G22" s="4" t="n">
        <v>595</v>
      </c>
      <c r="H22" t="inlineStr">
        <is>
          <t>No</t>
        </is>
      </c>
      <c r="I22" t="inlineStr">
        <is>
          <t>1 space</t>
        </is>
      </c>
      <c r="J22" s="5">
        <f>D22*Assumptions!B3</f>
        <v/>
      </c>
      <c r="K22" s="5">
        <f>D22-J22</f>
        <v/>
      </c>
      <c r="L22" s="5">
        <f>-PMT(Assumptions!B2/12,Assumptions!B4*12,K22)</f>
        <v/>
      </c>
      <c r="M22" s="5">
        <f>D22*Assumptions!B5/12</f>
        <v/>
      </c>
      <c r="N22" s="5">
        <f>Assumptions!B6</f>
        <v/>
      </c>
      <c r="O22" s="5">
        <f>Assumptions!B7+Assumptions!B8</f>
        <v/>
      </c>
      <c r="P22" s="5">
        <f>L22+E22+M22+N22+O22</f>
        <v/>
      </c>
      <c r="Q22" s="5" t="n">
        <v>2300</v>
      </c>
      <c r="R22" s="5">
        <f>P22-Q22</f>
        <v/>
      </c>
      <c r="S22" t="n">
        <v>3.2</v>
      </c>
      <c r="T22" t="n">
        <v>11.7</v>
      </c>
      <c r="U22" t="n">
        <v>5.9</v>
      </c>
      <c r="V22" s="8" t="n">
        <v>2.5</v>
      </c>
      <c r="W22" t="inlineStr">
        <is>
          <t>Green</t>
        </is>
      </c>
    </row>
    <row r="23">
      <c r="A23" s="6" t="inlineStr">
        <is>
          <t>367 Somerville Ave Unit G, Somerville, MA 02143</t>
        </is>
      </c>
      <c r="B23" t="inlineStr">
        <is>
          <t>Somerville</t>
        </is>
      </c>
      <c r="C23" s="7" t="inlineStr">
        <is>
          <t>https://www.redfin.com/MA/Somerville/367-Somerville-Ave-02143/unit-G/home/8751476</t>
        </is>
      </c>
      <c r="D23" s="5" t="n">
        <v>425000</v>
      </c>
      <c r="E23" s="5" t="n">
        <v>304</v>
      </c>
      <c r="F23" t="inlineStr">
        <is>
          <t>1bd/1.0ba</t>
        </is>
      </c>
      <c r="G23" s="4" t="n">
        <v>419</v>
      </c>
      <c r="H23" t="inlineStr">
        <is>
          <t>No</t>
        </is>
      </c>
      <c r="I23" t="inlineStr">
        <is>
          <t>0 spaces</t>
        </is>
      </c>
      <c r="J23" s="5">
        <f>D23*Assumptions!B3</f>
        <v/>
      </c>
      <c r="K23" s="5">
        <f>D23-J23</f>
        <v/>
      </c>
      <c r="L23" s="5">
        <f>-PMT(Assumptions!B2/12,Assumptions!B4*12,K23)</f>
        <v/>
      </c>
      <c r="M23" s="5">
        <f>D23*Assumptions!B5/12</f>
        <v/>
      </c>
      <c r="N23" s="5">
        <f>Assumptions!B6</f>
        <v/>
      </c>
      <c r="O23" s="5">
        <f>Assumptions!B7+Assumptions!B8</f>
        <v/>
      </c>
      <c r="P23" s="5">
        <f>L23+E23+M23+N23+O23</f>
        <v/>
      </c>
      <c r="Q23" s="5" t="n">
        <v>2300</v>
      </c>
      <c r="R23" s="5">
        <f>P23-Q23</f>
        <v/>
      </c>
      <c r="S23" t="n">
        <v>2.1</v>
      </c>
      <c r="T23" t="n">
        <v>10.3</v>
      </c>
      <c r="U23" t="n">
        <v>6</v>
      </c>
      <c r="V23" s="8" t="n">
        <v>2.5</v>
      </c>
      <c r="W23" t="inlineStr">
        <is>
          <t>Green</t>
        </is>
      </c>
    </row>
    <row r="24">
      <c r="A24" s="6" t="inlineStr">
        <is>
          <t>5 Waldo Ave Unit 2A, Somerville, MA 02143</t>
        </is>
      </c>
      <c r="B24" t="inlineStr">
        <is>
          <t>Somerville</t>
        </is>
      </c>
      <c r="C24" s="7" t="inlineStr">
        <is>
          <t>https://www.redfin.com/MA/Somerville/5-Waldo-Ave-02143/unit-2A/home/8759932</t>
        </is>
      </c>
      <c r="D24" s="5" t="n">
        <v>425000</v>
      </c>
      <c r="E24" s="5" t="n">
        <v>317</v>
      </c>
      <c r="F24" t="inlineStr">
        <is>
          <t>1bd/1.0ba</t>
        </is>
      </c>
      <c r="G24" s="4" t="n">
        <v>530</v>
      </c>
      <c r="H24" t="inlineStr">
        <is>
          <t>No</t>
        </is>
      </c>
      <c r="I24" t="inlineStr">
        <is>
          <t>0 spaces</t>
        </is>
      </c>
      <c r="J24" s="5">
        <f>D24*Assumptions!B3</f>
        <v/>
      </c>
      <c r="K24" s="5">
        <f>D24-J24</f>
        <v/>
      </c>
      <c r="L24" s="5">
        <f>-PMT(Assumptions!B2/12,Assumptions!B4*12,K24)</f>
        <v/>
      </c>
      <c r="M24" s="5">
        <f>D24*Assumptions!B5/12</f>
        <v/>
      </c>
      <c r="N24" s="5">
        <f>Assumptions!B6</f>
        <v/>
      </c>
      <c r="O24" s="5">
        <f>Assumptions!B7+Assumptions!B8</f>
        <v/>
      </c>
      <c r="P24" s="5">
        <f>L24+E24+M24+N24+O24</f>
        <v/>
      </c>
      <c r="Q24" s="5" t="n">
        <v>2300</v>
      </c>
      <c r="R24" s="5">
        <f>P24-Q24</f>
        <v/>
      </c>
      <c r="S24" t="n">
        <v>3.2</v>
      </c>
      <c r="T24" t="n">
        <v>11.7</v>
      </c>
      <c r="U24" t="n">
        <v>6</v>
      </c>
      <c r="V24" s="8" t="n">
        <v>2.5</v>
      </c>
      <c r="W24" t="inlineStr">
        <is>
          <t>Green</t>
        </is>
      </c>
    </row>
    <row r="25">
      <c r="A25" s="6" t="inlineStr">
        <is>
          <t>26 Chiswick Rd #6, Brighton, MA 02135</t>
        </is>
      </c>
      <c r="B25" t="inlineStr">
        <is>
          <t>Brighton</t>
        </is>
      </c>
      <c r="C25" s="7" t="inlineStr">
        <is>
          <t>https://www.redfin.com/MA/Brighton/26-Chiswick-Rd-02135/unit-6/home/9026723</t>
        </is>
      </c>
      <c r="D25" s="5" t="n">
        <v>368000</v>
      </c>
      <c r="E25" s="5" t="n">
        <v>472</v>
      </c>
      <c r="F25" t="inlineStr">
        <is>
          <t>1bd/1.0ba</t>
        </is>
      </c>
      <c r="G25" s="4" t="n">
        <v>470</v>
      </c>
      <c r="H25" t="inlineStr">
        <is>
          <t>No</t>
        </is>
      </c>
      <c r="I25" t="inlineStr">
        <is>
          <t>0 spaces</t>
        </is>
      </c>
      <c r="J25" s="5">
        <f>D25*Assumptions!B3</f>
        <v/>
      </c>
      <c r="K25" s="5">
        <f>D25-J25</f>
        <v/>
      </c>
      <c r="L25" s="5">
        <f>-PMT(Assumptions!B2/12,Assumptions!B4*12,K25)</f>
        <v/>
      </c>
      <c r="M25" s="5">
        <f>D25*Assumptions!B5/12</f>
        <v/>
      </c>
      <c r="N25" s="5">
        <f>Assumptions!B6</f>
        <v/>
      </c>
      <c r="O25" s="5">
        <f>Assumptions!B7+Assumptions!B8</f>
        <v/>
      </c>
      <c r="P25" s="5">
        <f>L25+E25+M25+N25+O25</f>
        <v/>
      </c>
      <c r="Q25" s="5" t="n">
        <v>2000</v>
      </c>
      <c r="R25" s="5">
        <f>P25-Q25</f>
        <v/>
      </c>
      <c r="S25" t="n">
        <v>1.4</v>
      </c>
      <c r="T25" t="n">
        <v>15.6</v>
      </c>
      <c r="U25" t="n">
        <v>13.8</v>
      </c>
      <c r="V25" s="8" t="n">
        <v>2.45</v>
      </c>
      <c r="W25" t="inlineStr">
        <is>
          <t>Green</t>
        </is>
      </c>
    </row>
    <row r="26">
      <c r="A26" s="6" t="inlineStr">
        <is>
          <t>103 Lake Shore Rd Unit 2, Brighton, MA 02135</t>
        </is>
      </c>
      <c r="B26" t="inlineStr">
        <is>
          <t>Brighton</t>
        </is>
      </c>
      <c r="C26" s="7" t="inlineStr">
        <is>
          <t>https://www.redfin.com/MA/Brighton/103-Lake-Shore-Rd-02135/unit-2/home/9043204</t>
        </is>
      </c>
      <c r="D26" s="5" t="n">
        <v>450000</v>
      </c>
      <c r="E26" s="5" t="n">
        <v>0</v>
      </c>
      <c r="F26" t="inlineStr">
        <is>
          <t>2bd/1.0ba</t>
        </is>
      </c>
      <c r="G26" s="4" t="n">
        <v>900</v>
      </c>
      <c r="H26" t="inlineStr">
        <is>
          <t>No</t>
        </is>
      </c>
      <c r="I26" t="inlineStr">
        <is>
          <t>0 spaces</t>
        </is>
      </c>
      <c r="J26" s="5">
        <f>D26*Assumptions!B3</f>
        <v/>
      </c>
      <c r="K26" s="5">
        <f>D26-J26</f>
        <v/>
      </c>
      <c r="L26" s="5">
        <f>-PMT(Assumptions!B2/12,Assumptions!B4*12,K26)</f>
        <v/>
      </c>
      <c r="M26" s="5">
        <f>D26*Assumptions!B5/12</f>
        <v/>
      </c>
      <c r="N26" s="5">
        <f>Assumptions!B6</f>
        <v/>
      </c>
      <c r="O26" s="5">
        <f>Assumptions!B7+Assumptions!B8</f>
        <v/>
      </c>
      <c r="P26" s="5">
        <f>L26+E26+M26+N26+O26</f>
        <v/>
      </c>
      <c r="Q26" s="5" t="n">
        <v>2000</v>
      </c>
      <c r="R26" s="5">
        <f>P26-Q26</f>
        <v/>
      </c>
      <c r="S26" t="n">
        <v>4.8</v>
      </c>
      <c r="T26" t="n">
        <v>16.6</v>
      </c>
      <c r="U26" t="n">
        <v>16.2</v>
      </c>
      <c r="V26" s="8" t="n">
        <v>2.45</v>
      </c>
      <c r="W26" t="inlineStr">
        <is>
          <t>Green</t>
        </is>
      </c>
    </row>
    <row r="27">
      <c r="A27" s="6" t="inlineStr">
        <is>
          <t>195 Thomas Burgin Pkwy #212, Quincy, MA 02169</t>
        </is>
      </c>
      <c r="B27" t="inlineStr">
        <is>
          <t>Quincy</t>
        </is>
      </c>
      <c r="C27" s="7" t="inlineStr">
        <is>
          <t>https://www.redfin.com/MA/Quincy/195-Thomas-Burgin-Pkwy-02169/unit-212/home/8931803</t>
        </is>
      </c>
      <c r="D27" s="5" t="n">
        <v>249900</v>
      </c>
      <c r="E27" s="5" t="n">
        <v>344</v>
      </c>
      <c r="F27" t="inlineStr">
        <is>
          <t>?bd/1.0ba</t>
        </is>
      </c>
      <c r="G27" s="4" t="n">
        <v>355</v>
      </c>
      <c r="H27" t="inlineStr">
        <is>
          <t>No</t>
        </is>
      </c>
      <c r="I27" t="inlineStr">
        <is>
          <t>0 spaces</t>
        </is>
      </c>
      <c r="J27" s="5">
        <f>D27*Assumptions!B3</f>
        <v/>
      </c>
      <c r="K27" s="5">
        <f>D27-J27</f>
        <v/>
      </c>
      <c r="L27" s="5">
        <f>-PMT(Assumptions!B2/12,Assumptions!B4*12,K27)</f>
        <v/>
      </c>
      <c r="M27" s="5">
        <f>D27*Assumptions!B5/12</f>
        <v/>
      </c>
      <c r="N27" s="5">
        <f>Assumptions!B6</f>
        <v/>
      </c>
      <c r="O27" s="5">
        <f>Assumptions!B7+Assumptions!B8</f>
        <v/>
      </c>
      <c r="P27" s="5">
        <f>L27+E27+M27+N27+O27</f>
        <v/>
      </c>
      <c r="Q27" s="5" t="n">
        <v>1800</v>
      </c>
      <c r="R27" s="5">
        <f>P27-Q27</f>
        <v/>
      </c>
      <c r="S27" t="n">
        <v>2.2</v>
      </c>
      <c r="T27" t="n">
        <v>17.6</v>
      </c>
      <c r="U27" t="n">
        <v>21.7</v>
      </c>
      <c r="V27" s="8" t="n">
        <v>2.45</v>
      </c>
      <c r="W27" t="inlineStr">
        <is>
          <t>Green</t>
        </is>
      </c>
    </row>
    <row r="28">
      <c r="A28" s="6" t="inlineStr">
        <is>
          <t>1025 Hancock St Unit 2K, Quincy, MA 02169</t>
        </is>
      </c>
      <c r="B28" t="inlineStr">
        <is>
          <t>Quincy</t>
        </is>
      </c>
      <c r="C28" s="7" t="inlineStr">
        <is>
          <t>https://www.redfin.com/MA/Quincy/1025-Hancock-St-02169/unit-2K/home/9032191</t>
        </is>
      </c>
      <c r="D28" s="5" t="n">
        <v>264000</v>
      </c>
      <c r="E28" s="5" t="n">
        <v>270</v>
      </c>
      <c r="F28" t="inlineStr">
        <is>
          <t>?bd/1.0ba</t>
        </is>
      </c>
      <c r="G28" s="4" t="n">
        <v>445</v>
      </c>
      <c r="H28" t="inlineStr">
        <is>
          <t>No</t>
        </is>
      </c>
      <c r="I28" t="inlineStr">
        <is>
          <t>2 spaces</t>
        </is>
      </c>
      <c r="J28" s="5">
        <f>D28*Assumptions!B3</f>
        <v/>
      </c>
      <c r="K28" s="5">
        <f>D28-J28</f>
        <v/>
      </c>
      <c r="L28" s="5">
        <f>-PMT(Assumptions!B2/12,Assumptions!B4*12,K28)</f>
        <v/>
      </c>
      <c r="M28" s="5">
        <f>D28*Assumptions!B5/12</f>
        <v/>
      </c>
      <c r="N28" s="5">
        <f>Assumptions!B6</f>
        <v/>
      </c>
      <c r="O28" s="5">
        <f>Assumptions!B7+Assumptions!B8</f>
        <v/>
      </c>
      <c r="P28" s="5">
        <f>L28+E28+M28+N28+O28</f>
        <v/>
      </c>
      <c r="Q28" s="5" t="n">
        <v>1800</v>
      </c>
      <c r="R28" s="5">
        <f>P28-Q28</f>
        <v/>
      </c>
      <c r="S28" t="n">
        <v>1.8</v>
      </c>
      <c r="T28" t="n">
        <v>16.7</v>
      </c>
      <c r="U28" t="n">
        <v>20.7</v>
      </c>
      <c r="V28" s="8" t="n">
        <v>2.45</v>
      </c>
      <c r="W28" t="inlineStr">
        <is>
          <t>Green</t>
        </is>
      </c>
    </row>
    <row r="29">
      <c r="A29" s="6" t="inlineStr">
        <is>
          <t>194 Lexington St #1, Watertown, MA 02472</t>
        </is>
      </c>
      <c r="B29" t="inlineStr">
        <is>
          <t>Watertown</t>
        </is>
      </c>
      <c r="C29" s="7" t="inlineStr">
        <is>
          <t>https://www.redfin.com/MA/Watertown/194-Lexington-St-02472/unit-1/home/11690433</t>
        </is>
      </c>
      <c r="D29" s="5" t="n">
        <v>375000</v>
      </c>
      <c r="E29" s="5" t="n">
        <v>350</v>
      </c>
      <c r="F29" t="inlineStr">
        <is>
          <t>2bd/1.0ba</t>
        </is>
      </c>
      <c r="G29" s="4" t="n">
        <v>600</v>
      </c>
      <c r="H29" t="inlineStr">
        <is>
          <t>No</t>
        </is>
      </c>
      <c r="I29" t="inlineStr">
        <is>
          <t>1 space</t>
        </is>
      </c>
      <c r="J29" s="5">
        <f>D29*Assumptions!B3</f>
        <v/>
      </c>
      <c r="K29" s="5">
        <f>D29-J29</f>
        <v/>
      </c>
      <c r="L29" s="5">
        <f>-PMT(Assumptions!B2/12,Assumptions!B4*12,K29)</f>
        <v/>
      </c>
      <c r="M29" s="5">
        <f>D29*Assumptions!B5/12</f>
        <v/>
      </c>
      <c r="N29" s="5">
        <f>Assumptions!B6</f>
        <v/>
      </c>
      <c r="O29" s="5">
        <f>Assumptions!B7+Assumptions!B8</f>
        <v/>
      </c>
      <c r="P29" s="5">
        <f>L29+E29+M29+N29+O29</f>
        <v/>
      </c>
      <c r="Q29" s="5" t="n">
        <v>2100</v>
      </c>
      <c r="R29" s="5">
        <f>P29-Q29</f>
        <v/>
      </c>
      <c r="S29" t="n">
        <v>12.4</v>
      </c>
      <c r="T29" t="n">
        <v>18.9</v>
      </c>
      <c r="U29" t="n">
        <v>17</v>
      </c>
      <c r="V29" s="8" t="n">
        <v>2.45</v>
      </c>
      <c r="W29" t="inlineStr">
        <is>
          <t>Green</t>
        </is>
      </c>
    </row>
    <row r="30">
      <c r="A30" s="6" t="inlineStr">
        <is>
          <t>133 Warren St #3, Watertown, MA 02472</t>
        </is>
      </c>
      <c r="B30" t="inlineStr">
        <is>
          <t>Watertown</t>
        </is>
      </c>
      <c r="C30" s="7" t="inlineStr">
        <is>
          <t>https://www.redfin.com/MA/Watertown/133-Warren-St-02472/unit-3/home/11690534</t>
        </is>
      </c>
      <c r="D30" s="5" t="n">
        <v>375000</v>
      </c>
      <c r="E30" s="5" t="n">
        <v>350</v>
      </c>
      <c r="F30" t="inlineStr">
        <is>
          <t>2bd/1.0ba</t>
        </is>
      </c>
      <c r="G30" s="4" t="n">
        <v>600</v>
      </c>
      <c r="H30" t="inlineStr">
        <is>
          <t>No</t>
        </is>
      </c>
      <c r="I30" t="inlineStr">
        <is>
          <t>2 spaces</t>
        </is>
      </c>
      <c r="J30" s="5">
        <f>D30*Assumptions!B3</f>
        <v/>
      </c>
      <c r="K30" s="5">
        <f>D30-J30</f>
        <v/>
      </c>
      <c r="L30" s="5">
        <f>-PMT(Assumptions!B2/12,Assumptions!B4*12,K30)</f>
        <v/>
      </c>
      <c r="M30" s="5">
        <f>D30*Assumptions!B5/12</f>
        <v/>
      </c>
      <c r="N30" s="5">
        <f>Assumptions!B6</f>
        <v/>
      </c>
      <c r="O30" s="5">
        <f>Assumptions!B7+Assumptions!B8</f>
        <v/>
      </c>
      <c r="P30" s="5">
        <f>L30+E30+M30+N30+O30</f>
        <v/>
      </c>
      <c r="Q30" s="5" t="n">
        <v>2100</v>
      </c>
      <c r="R30" s="5">
        <f>P30-Q30</f>
        <v/>
      </c>
      <c r="S30" t="n">
        <v>12.3</v>
      </c>
      <c r="T30" t="n">
        <v>18.7</v>
      </c>
      <c r="U30" t="n">
        <v>17.3</v>
      </c>
      <c r="V30" s="8" t="n">
        <v>2.45</v>
      </c>
      <c r="W30" t="inlineStr">
        <is>
          <t>Green</t>
        </is>
      </c>
    </row>
    <row r="31">
      <c r="A31" s="6" t="inlineStr">
        <is>
          <t>38 Carey Ave #3, Watertown, MA 02472</t>
        </is>
      </c>
      <c r="B31" t="inlineStr">
        <is>
          <t>Watertown</t>
        </is>
      </c>
      <c r="C31" s="7" t="inlineStr">
        <is>
          <t>https://www.redfin.com/MA/Watertown/38-Carey-Ave-02472/unit-3/home/11690323</t>
        </is>
      </c>
      <c r="D31" s="5" t="n">
        <v>374899</v>
      </c>
      <c r="E31" s="5" t="n">
        <v>350</v>
      </c>
      <c r="F31" t="inlineStr">
        <is>
          <t>2bd/1.0ba</t>
        </is>
      </c>
      <c r="G31" s="4" t="n">
        <v>600</v>
      </c>
      <c r="H31" t="inlineStr">
        <is>
          <t>No</t>
        </is>
      </c>
      <c r="I31" t="inlineStr">
        <is>
          <t>1 space</t>
        </is>
      </c>
      <c r="J31" s="5">
        <f>D31*Assumptions!B3</f>
        <v/>
      </c>
      <c r="K31" s="5">
        <f>D31-J31</f>
        <v/>
      </c>
      <c r="L31" s="5">
        <f>-PMT(Assumptions!B2/12,Assumptions!B4*12,K31)</f>
        <v/>
      </c>
      <c r="M31" s="5">
        <f>D31*Assumptions!B5/12</f>
        <v/>
      </c>
      <c r="N31" s="5">
        <f>Assumptions!B6</f>
        <v/>
      </c>
      <c r="O31" s="5">
        <f>Assumptions!B7+Assumptions!B8</f>
        <v/>
      </c>
      <c r="P31" s="5">
        <f>L31+E31+M31+N31+O31</f>
        <v/>
      </c>
      <c r="Q31" s="5" t="n">
        <v>2100</v>
      </c>
      <c r="R31" s="5">
        <f>P31-Q31</f>
        <v/>
      </c>
      <c r="S31" t="n">
        <v>12.6</v>
      </c>
      <c r="T31" t="n">
        <v>19.1</v>
      </c>
      <c r="U31" t="n">
        <v>17.2</v>
      </c>
      <c r="V31" s="8" t="n">
        <v>2.45</v>
      </c>
      <c r="W31" t="inlineStr">
        <is>
          <t>Green</t>
        </is>
      </c>
    </row>
    <row r="32">
      <c r="A32" s="6" t="inlineStr">
        <is>
          <t>100 Lanark Rd #8, Brighton, MA 02135</t>
        </is>
      </c>
      <c r="B32" t="inlineStr">
        <is>
          <t>Brighton</t>
        </is>
      </c>
      <c r="C32" s="7" t="inlineStr">
        <is>
          <t>https://www.redfin.com/MA/Brighton/100-Lanark-Rd-02135/unit-8/home/9022520</t>
        </is>
      </c>
      <c r="D32" s="5" t="n">
        <v>420000</v>
      </c>
      <c r="E32" s="5" t="n">
        <v>500</v>
      </c>
      <c r="F32" t="inlineStr">
        <is>
          <t>1bd/1.0ba</t>
        </is>
      </c>
      <c r="G32" s="4" t="n">
        <v>560</v>
      </c>
      <c r="H32" t="inlineStr">
        <is>
          <t>No</t>
        </is>
      </c>
      <c r="I32" t="inlineStr">
        <is>
          <t>0 spaces</t>
        </is>
      </c>
      <c r="J32" s="5">
        <f>D32*Assumptions!B3</f>
        <v/>
      </c>
      <c r="K32" s="5">
        <f>D32-J32</f>
        <v/>
      </c>
      <c r="L32" s="5">
        <f>-PMT(Assumptions!B2/12,Assumptions!B4*12,K32)</f>
        <v/>
      </c>
      <c r="M32" s="5">
        <f>D32*Assumptions!B5/12</f>
        <v/>
      </c>
      <c r="N32" s="5">
        <f>Assumptions!B6</f>
        <v/>
      </c>
      <c r="O32" s="5">
        <f>Assumptions!B7+Assumptions!B8</f>
        <v/>
      </c>
      <c r="P32" s="5">
        <f>L32+E32+M32+N32+O32</f>
        <v/>
      </c>
      <c r="Q32" s="5" t="n">
        <v>2000</v>
      </c>
      <c r="R32" s="5">
        <f>P32-Q32</f>
        <v/>
      </c>
      <c r="S32" t="n">
        <v>0.8</v>
      </c>
      <c r="T32" t="n">
        <v>14.8</v>
      </c>
      <c r="U32" t="n">
        <v>14</v>
      </c>
      <c r="V32" s="8" t="n">
        <v>2.4</v>
      </c>
      <c r="W32" t="inlineStr">
        <is>
          <t>Green</t>
        </is>
      </c>
    </row>
    <row r="33">
      <c r="A33" s="6" t="inlineStr">
        <is>
          <t>18 Allerton St, Quincy, MA 02169</t>
        </is>
      </c>
      <c r="B33" t="inlineStr">
        <is>
          <t>Quincy</t>
        </is>
      </c>
      <c r="C33" s="7" t="inlineStr">
        <is>
          <t>https://www.redfin.com/MA/Quincy/18-Allerton-St-02169/home/110011603</t>
        </is>
      </c>
      <c r="D33" s="5" t="n">
        <v>200000</v>
      </c>
      <c r="E33" s="5" t="n">
        <v>0</v>
      </c>
      <c r="F33" t="inlineStr">
        <is>
          <t>?bd/?ba</t>
        </is>
      </c>
      <c r="G33" s="4" t="n"/>
      <c r="H33" t="inlineStr">
        <is>
          <t>No</t>
        </is>
      </c>
      <c r="I33" t="inlineStr">
        <is>
          <t>Unknown</t>
        </is>
      </c>
      <c r="J33" s="5">
        <f>D33*Assumptions!B3</f>
        <v/>
      </c>
      <c r="K33" s="5">
        <f>D33-J33</f>
        <v/>
      </c>
      <c r="L33" s="5">
        <f>-PMT(Assumptions!B2/12,Assumptions!B4*12,K33)</f>
        <v/>
      </c>
      <c r="M33" s="5">
        <f>D33*Assumptions!B5/12</f>
        <v/>
      </c>
      <c r="N33" s="5">
        <f>Assumptions!B6</f>
        <v/>
      </c>
      <c r="O33" s="5">
        <f>Assumptions!B7+Assumptions!B8</f>
        <v/>
      </c>
      <c r="P33" s="5">
        <f>L33+E33+M33+N33+O33</f>
        <v/>
      </c>
      <c r="Q33" s="5" t="n">
        <v>1800</v>
      </c>
      <c r="R33" s="5">
        <f>P33-Q33</f>
        <v/>
      </c>
      <c r="S33" t="n">
        <v>8.4</v>
      </c>
      <c r="T33" t="n">
        <v>23.3</v>
      </c>
      <c r="U33" t="n">
        <v>27.4</v>
      </c>
      <c r="V33" s="8" t="n">
        <v>2.4</v>
      </c>
      <c r="W33" t="inlineStr">
        <is>
          <t>Green</t>
        </is>
      </c>
    </row>
    <row r="34">
      <c r="A34" s="6" t="inlineStr">
        <is>
          <t>1945 Commonwealth Ave #4, Brighton, MA 02135</t>
        </is>
      </c>
      <c r="B34" t="inlineStr">
        <is>
          <t>Brighton</t>
        </is>
      </c>
      <c r="C34" s="7" t="inlineStr">
        <is>
          <t>https://www.redfin.com/MA/Brighton/1945-Commonwealth-Ave-02135/unit-4/home/9242382</t>
        </is>
      </c>
      <c r="D34" s="5" t="n">
        <v>439000</v>
      </c>
      <c r="E34" s="5" t="n">
        <v>364</v>
      </c>
      <c r="F34" t="inlineStr">
        <is>
          <t>1bd/1.0ba</t>
        </is>
      </c>
      <c r="G34" s="4" t="n">
        <v>605</v>
      </c>
      <c r="H34" t="inlineStr">
        <is>
          <t>No</t>
        </is>
      </c>
      <c r="I34" t="inlineStr">
        <is>
          <t>0 spaces</t>
        </is>
      </c>
      <c r="J34" s="5">
        <f>D34*Assumptions!B3</f>
        <v/>
      </c>
      <c r="K34" s="5">
        <f>D34-J34</f>
        <v/>
      </c>
      <c r="L34" s="5">
        <f>-PMT(Assumptions!B2/12,Assumptions!B4*12,K34)</f>
        <v/>
      </c>
      <c r="M34" s="5">
        <f>D34*Assumptions!B5/12</f>
        <v/>
      </c>
      <c r="N34" s="5">
        <f>Assumptions!B6</f>
        <v/>
      </c>
      <c r="O34" s="5">
        <f>Assumptions!B7+Assumptions!B8</f>
        <v/>
      </c>
      <c r="P34" s="5">
        <f>L34+E34+M34+N34+O34</f>
        <v/>
      </c>
      <c r="Q34" s="5" t="n">
        <v>2000</v>
      </c>
      <c r="R34" s="5">
        <f>P34-Q34</f>
        <v/>
      </c>
      <c r="S34" t="n">
        <v>1.8</v>
      </c>
      <c r="T34" t="n">
        <v>16.7</v>
      </c>
      <c r="U34" t="n">
        <v>15</v>
      </c>
      <c r="V34" s="8" t="n">
        <v>2.35</v>
      </c>
      <c r="W34" t="inlineStr">
        <is>
          <t>Green</t>
        </is>
      </c>
    </row>
    <row r="35">
      <c r="A35" s="6" t="inlineStr">
        <is>
          <t>20 Whitney Unit U:1, Quincy, MA 02169</t>
        </is>
      </c>
      <c r="B35" t="inlineStr">
        <is>
          <t>Quincy</t>
        </is>
      </c>
      <c r="C35" s="7" t="inlineStr">
        <is>
          <t>https://www.redfin.com/MA/Quincy/20-Whitney-Rd-02169/unit-U-1/home/200248173</t>
        </is>
      </c>
      <c r="D35" s="5" t="n">
        <v>499000</v>
      </c>
      <c r="E35" s="5" t="n">
        <v>200</v>
      </c>
      <c r="F35" t="inlineStr">
        <is>
          <t>1bd/1.0ba</t>
        </is>
      </c>
      <c r="G35" s="4" t="n">
        <v>638</v>
      </c>
      <c r="H35" t="inlineStr">
        <is>
          <t>No</t>
        </is>
      </c>
      <c r="I35" t="inlineStr">
        <is>
          <t>1 space</t>
        </is>
      </c>
      <c r="J35" s="5">
        <f>D35*Assumptions!B3</f>
        <v/>
      </c>
      <c r="K35" s="5">
        <f>D35-J35</f>
        <v/>
      </c>
      <c r="L35" s="5">
        <f>-PMT(Assumptions!B2/12,Assumptions!B4*12,K35)</f>
        <v/>
      </c>
      <c r="M35" s="5">
        <f>D35*Assumptions!B5/12</f>
        <v/>
      </c>
      <c r="N35" s="5">
        <f>Assumptions!B6</f>
        <v/>
      </c>
      <c r="O35" s="5">
        <f>Assumptions!B7+Assumptions!B8</f>
        <v/>
      </c>
      <c r="P35" s="5">
        <f>L35+E35+M35+N35+O35</f>
        <v/>
      </c>
      <c r="Q35" s="5" t="n">
        <v>1800</v>
      </c>
      <c r="R35" s="5">
        <f>P35-Q35</f>
        <v/>
      </c>
      <c r="S35" t="n">
        <v>1.4</v>
      </c>
      <c r="T35" t="n">
        <v>17.1</v>
      </c>
      <c r="U35" t="n">
        <v>21.2</v>
      </c>
      <c r="V35" s="8" t="n">
        <v>2.35</v>
      </c>
      <c r="W35" t="inlineStr">
        <is>
          <t>Green</t>
        </is>
      </c>
    </row>
    <row r="36">
      <c r="A36" s="6" t="inlineStr">
        <is>
          <t>20 Whitney Rd #101, Quincy, MA 02169</t>
        </is>
      </c>
      <c r="B36" t="inlineStr">
        <is>
          <t>Quincy</t>
        </is>
      </c>
      <c r="C36" s="7" t="inlineStr">
        <is>
          <t>https://www.redfin.com/MA/Quincy/20-Whitney-Rd-02169/unit-101/home/196906729</t>
        </is>
      </c>
      <c r="D36" s="5" t="n">
        <v>499000</v>
      </c>
      <c r="E36" s="5" t="n">
        <v>0</v>
      </c>
      <c r="F36" t="inlineStr">
        <is>
          <t>1bd/1.0ba</t>
        </is>
      </c>
      <c r="G36" s="4" t="n">
        <v>575</v>
      </c>
      <c r="H36" t="inlineStr">
        <is>
          <t>No</t>
        </is>
      </c>
      <c r="I36" t="inlineStr">
        <is>
          <t>Unknown</t>
        </is>
      </c>
      <c r="J36" s="5">
        <f>D36*Assumptions!B3</f>
        <v/>
      </c>
      <c r="K36" s="5">
        <f>D36-J36</f>
        <v/>
      </c>
      <c r="L36" s="5">
        <f>-PMT(Assumptions!B2/12,Assumptions!B4*12,K36)</f>
        <v/>
      </c>
      <c r="M36" s="5">
        <f>D36*Assumptions!B5/12</f>
        <v/>
      </c>
      <c r="N36" s="5">
        <f>Assumptions!B6</f>
        <v/>
      </c>
      <c r="O36" s="5">
        <f>Assumptions!B7+Assumptions!B8</f>
        <v/>
      </c>
      <c r="P36" s="5">
        <f>L36+E36+M36+N36+O36</f>
        <v/>
      </c>
      <c r="Q36" s="5" t="n">
        <v>1800</v>
      </c>
      <c r="R36" s="5">
        <f>P36-Q36</f>
        <v/>
      </c>
      <c r="S36" t="n">
        <v>1.4</v>
      </c>
      <c r="T36" t="n">
        <v>17.1</v>
      </c>
      <c r="U36" t="n">
        <v>21.2</v>
      </c>
      <c r="V36" s="8" t="n">
        <v>2.35</v>
      </c>
      <c r="W36" t="inlineStr">
        <is>
          <t>Green</t>
        </is>
      </c>
    </row>
    <row r="37">
      <c r="A37" s="9" t="inlineStr">
        <is>
          <t>35 Homer Ave #7, Cambridge, MA 02138</t>
        </is>
      </c>
      <c r="B37" t="inlineStr">
        <is>
          <t>Cambridge</t>
        </is>
      </c>
      <c r="C37" s="7" t="inlineStr">
        <is>
          <t>https://www.redfin.com/MA/Cambridge/35-Homer-Ave-02138/unit-7/home/12442078</t>
        </is>
      </c>
      <c r="D37" s="5" t="n">
        <v>500000</v>
      </c>
      <c r="E37" s="5" t="n">
        <v>325</v>
      </c>
      <c r="F37" t="inlineStr">
        <is>
          <t>1bd/1.0ba</t>
        </is>
      </c>
      <c r="G37" s="4" t="n">
        <v>504</v>
      </c>
      <c r="H37" t="inlineStr">
        <is>
          <t>No</t>
        </is>
      </c>
      <c r="I37" t="inlineStr">
        <is>
          <t>1 space</t>
        </is>
      </c>
      <c r="J37" s="5">
        <f>D37*Assumptions!B3</f>
        <v/>
      </c>
      <c r="K37" s="5">
        <f>D37-J37</f>
        <v/>
      </c>
      <c r="L37" s="5">
        <f>-PMT(Assumptions!B2/12,Assumptions!B4*12,K37)</f>
        <v/>
      </c>
      <c r="M37" s="5">
        <f>D37*Assumptions!B5/12</f>
        <v/>
      </c>
      <c r="N37" s="5">
        <f>Assumptions!B6</f>
        <v/>
      </c>
      <c r="O37" s="5">
        <f>Assumptions!B7+Assumptions!B8</f>
        <v/>
      </c>
      <c r="P37" s="5">
        <f>L37+E37+M37+N37+O37</f>
        <v/>
      </c>
      <c r="Q37" s="5" t="n">
        <v>2500</v>
      </c>
      <c r="R37" s="5">
        <f>P37-Q37</f>
        <v/>
      </c>
      <c r="S37" t="n">
        <v>5</v>
      </c>
      <c r="T37" t="n">
        <v>14.2</v>
      </c>
      <c r="U37" t="n">
        <v>11.8</v>
      </c>
      <c r="V37" s="8" t="n">
        <v>2.3</v>
      </c>
      <c r="W37" t="inlineStr">
        <is>
          <t>Yellow</t>
        </is>
      </c>
    </row>
    <row r="38">
      <c r="A38" s="6" t="inlineStr">
        <is>
          <t>8 9th #513, Medford, MA 02155</t>
        </is>
      </c>
      <c r="B38" t="inlineStr">
        <is>
          <t>Medford</t>
        </is>
      </c>
      <c r="C38" s="7" t="inlineStr">
        <is>
          <t>https://www.redfin.com/MA/Medford/8-9th-St-02155/unit-513/home/11797051</t>
        </is>
      </c>
      <c r="D38" s="5" t="n">
        <v>499000</v>
      </c>
      <c r="E38" s="5" t="n">
        <v>440</v>
      </c>
      <c r="F38" t="inlineStr">
        <is>
          <t>2bd/2.0ba</t>
        </is>
      </c>
      <c r="G38" s="4" t="n">
        <v>1264</v>
      </c>
      <c r="H38" t="inlineStr">
        <is>
          <t>No</t>
        </is>
      </c>
      <c r="I38" t="inlineStr">
        <is>
          <t>1 space</t>
        </is>
      </c>
      <c r="J38" s="5">
        <f>D38*Assumptions!B3</f>
        <v/>
      </c>
      <c r="K38" s="5">
        <f>D38-J38</f>
        <v/>
      </c>
      <c r="L38" s="5">
        <f>-PMT(Assumptions!B2/12,Assumptions!B4*12,K38)</f>
        <v/>
      </c>
      <c r="M38" s="5">
        <f>D38*Assumptions!B5/12</f>
        <v/>
      </c>
      <c r="N38" s="5">
        <f>Assumptions!B6</f>
        <v/>
      </c>
      <c r="O38" s="5">
        <f>Assumptions!B7+Assumptions!B8</f>
        <v/>
      </c>
      <c r="P38" s="5">
        <f>L38+E38+M38+N38+O38</f>
        <v/>
      </c>
      <c r="Q38" s="5" t="n">
        <v>1900</v>
      </c>
      <c r="R38" s="5">
        <f>P38-Q38</f>
        <v/>
      </c>
      <c r="S38" t="n">
        <v>3.1</v>
      </c>
      <c r="T38" t="n">
        <v>9.6</v>
      </c>
      <c r="U38" t="n">
        <v>8.199999999999999</v>
      </c>
      <c r="V38" s="8" t="n">
        <v>2.3</v>
      </c>
      <c r="W38" t="inlineStr">
        <is>
          <t>Green</t>
        </is>
      </c>
    </row>
    <row r="39">
      <c r="A39" s="9" t="inlineStr">
        <is>
          <t>15 Colliston Rd #6, Brighton, MA 02135</t>
        </is>
      </c>
      <c r="B39" t="inlineStr">
        <is>
          <t>Brighton</t>
        </is>
      </c>
      <c r="C39" s="7" t="inlineStr">
        <is>
          <t>https://www.redfin.com/MA/Brighton/15-Colliston-Rd-02135/unit-6/home/9004520</t>
        </is>
      </c>
      <c r="D39" s="5" t="n">
        <v>450000</v>
      </c>
      <c r="E39" s="5" t="n">
        <v>425</v>
      </c>
      <c r="F39" t="inlineStr">
        <is>
          <t>1bd/1.0ba</t>
        </is>
      </c>
      <c r="G39" s="4" t="n">
        <v>577</v>
      </c>
      <c r="H39" t="inlineStr">
        <is>
          <t>No</t>
        </is>
      </c>
      <c r="I39" t="inlineStr">
        <is>
          <t>0 spaces</t>
        </is>
      </c>
      <c r="J39" s="5">
        <f>D39*Assumptions!B3</f>
        <v/>
      </c>
      <c r="K39" s="5">
        <f>D39-J39</f>
        <v/>
      </c>
      <c r="L39" s="5">
        <f>-PMT(Assumptions!B2/12,Assumptions!B4*12,K39)</f>
        <v/>
      </c>
      <c r="M39" s="5">
        <f>D39*Assumptions!B5/12</f>
        <v/>
      </c>
      <c r="N39" s="5">
        <f>Assumptions!B6</f>
        <v/>
      </c>
      <c r="O39" s="5">
        <f>Assumptions!B7+Assumptions!B8</f>
        <v/>
      </c>
      <c r="P39" s="5">
        <f>L39+E39+M39+N39+O39</f>
        <v/>
      </c>
      <c r="Q39" s="5" t="n">
        <v>2000</v>
      </c>
      <c r="R39" s="5">
        <f>P39-Q39</f>
        <v/>
      </c>
      <c r="S39" t="n">
        <v>1.2</v>
      </c>
      <c r="T39" t="n">
        <v>15.2</v>
      </c>
      <c r="U39" t="n">
        <v>14.1</v>
      </c>
      <c r="V39" s="8" t="n">
        <v>2.25</v>
      </c>
      <c r="W39" t="inlineStr">
        <is>
          <t>Yellow</t>
        </is>
      </c>
    </row>
    <row r="40">
      <c r="A40" s="9" t="inlineStr">
        <is>
          <t>21 Totman St #203, Quincy, MA 02169</t>
        </is>
      </c>
      <c r="B40" t="inlineStr">
        <is>
          <t>Quincy</t>
        </is>
      </c>
      <c r="C40" s="7" t="inlineStr">
        <is>
          <t>https://www.redfin.com/MA/Quincy/21-Totman-St-02169/unit-203/home/199494634</t>
        </is>
      </c>
      <c r="D40" s="5" t="n">
        <v>474900</v>
      </c>
      <c r="E40" s="5" t="n">
        <v>312</v>
      </c>
      <c r="F40" t="inlineStr">
        <is>
          <t>1bd/1.0ba</t>
        </is>
      </c>
      <c r="G40" s="4" t="n">
        <v>679</v>
      </c>
      <c r="H40" t="inlineStr">
        <is>
          <t>No</t>
        </is>
      </c>
      <c r="I40" t="inlineStr">
        <is>
          <t>1 space</t>
        </is>
      </c>
      <c r="J40" s="5">
        <f>D40*Assumptions!B3</f>
        <v/>
      </c>
      <c r="K40" s="5">
        <f>D40-J40</f>
        <v/>
      </c>
      <c r="L40" s="5">
        <f>-PMT(Assumptions!B2/12,Assumptions!B4*12,K40)</f>
        <v/>
      </c>
      <c r="M40" s="5">
        <f>D40*Assumptions!B5/12</f>
        <v/>
      </c>
      <c r="N40" s="5">
        <f>Assumptions!B6</f>
        <v/>
      </c>
      <c r="O40" s="5">
        <f>Assumptions!B7+Assumptions!B8</f>
        <v/>
      </c>
      <c r="P40" s="5">
        <f>L40+E40+M40+N40+O40</f>
        <v/>
      </c>
      <c r="Q40" s="5" t="n">
        <v>1800</v>
      </c>
      <c r="R40" s="5">
        <f>P40-Q40</f>
        <v/>
      </c>
      <c r="S40" t="n">
        <v>2.3</v>
      </c>
      <c r="T40" t="n">
        <v>18.3</v>
      </c>
      <c r="U40" t="n">
        <v>22.4</v>
      </c>
      <c r="V40" s="8" t="n">
        <v>2.25</v>
      </c>
      <c r="W40" t="inlineStr">
        <is>
          <t>Yellow</t>
        </is>
      </c>
    </row>
    <row r="41">
      <c r="A41" s="9" t="inlineStr">
        <is>
          <t>16 Winter Unit 26C, Waltham, MA 02451</t>
        </is>
      </c>
      <c r="B41" t="inlineStr">
        <is>
          <t>Waltham</t>
        </is>
      </c>
      <c r="C41" s="7" t="inlineStr">
        <is>
          <t>https://www.redfin.com/MA/Waltham/16-Winter-St-02451/unit-26C/home/11804463</t>
        </is>
      </c>
      <c r="D41" s="5" t="n">
        <v>425000</v>
      </c>
      <c r="E41" s="5" t="n">
        <v>422</v>
      </c>
      <c r="F41" t="inlineStr">
        <is>
          <t>2bd/2.0ba</t>
        </is>
      </c>
      <c r="G41" s="4" t="n">
        <v>1000</v>
      </c>
      <c r="H41" t="inlineStr">
        <is>
          <t>No</t>
        </is>
      </c>
      <c r="I41" t="inlineStr">
        <is>
          <t>1 space</t>
        </is>
      </c>
      <c r="J41" s="5">
        <f>D41*Assumptions!B3</f>
        <v/>
      </c>
      <c r="K41" s="5">
        <f>D41-J41</f>
        <v/>
      </c>
      <c r="L41" s="5">
        <f>-PMT(Assumptions!B2/12,Assumptions!B4*12,K41)</f>
        <v/>
      </c>
      <c r="M41" s="5">
        <f>D41*Assumptions!B5/12</f>
        <v/>
      </c>
      <c r="N41" s="5">
        <f>Assumptions!B6</f>
        <v/>
      </c>
      <c r="O41" s="5">
        <f>Assumptions!B7+Assumptions!B8</f>
        <v/>
      </c>
      <c r="P41" s="5">
        <f>L41+E41+M41+N41+O41</f>
        <v/>
      </c>
      <c r="Q41" s="5" t="n">
        <v>1900</v>
      </c>
      <c r="R41" s="5">
        <f>P41-Q41</f>
        <v/>
      </c>
      <c r="S41" t="n">
        <v>13.2</v>
      </c>
      <c r="T41" t="n">
        <v>25.7</v>
      </c>
      <c r="U41" t="n">
        <v>23.6</v>
      </c>
      <c r="V41" s="8" t="n">
        <v>2.15</v>
      </c>
      <c r="W41" t="inlineStr">
        <is>
          <t>Yellow</t>
        </is>
      </c>
    </row>
    <row r="42">
      <c r="A42" s="9" t="inlineStr">
        <is>
          <t>4 Franklin St #202, Boston, MA 02134</t>
        </is>
      </c>
      <c r="B42" t="inlineStr">
        <is>
          <t>Allston</t>
        </is>
      </c>
      <c r="C42" s="7" t="inlineStr">
        <is>
          <t>https://www.redfin.com/MA/Boston/4-Franklin-St-02134/unit-202/home/190592119</t>
        </is>
      </c>
      <c r="D42" s="5" t="n">
        <v>588000</v>
      </c>
      <c r="E42" s="5" t="n">
        <v>243</v>
      </c>
      <c r="F42" t="inlineStr">
        <is>
          <t>1bd/1.0ba</t>
        </is>
      </c>
      <c r="G42" s="4" t="n">
        <v>641</v>
      </c>
      <c r="H42" t="inlineStr">
        <is>
          <t>No</t>
        </is>
      </c>
      <c r="I42" t="inlineStr">
        <is>
          <t>1 space</t>
        </is>
      </c>
      <c r="J42" s="5">
        <f>D42*Assumptions!B3</f>
        <v/>
      </c>
      <c r="K42" s="5">
        <f>D42-J42</f>
        <v/>
      </c>
      <c r="L42" s="5">
        <f>-PMT(Assumptions!B2/12,Assumptions!B4*12,K42)</f>
        <v/>
      </c>
      <c r="M42" s="5">
        <f>D42*Assumptions!B5/12</f>
        <v/>
      </c>
      <c r="N42" s="5">
        <f>Assumptions!B6</f>
        <v/>
      </c>
      <c r="O42" s="5">
        <f>Assumptions!B7+Assumptions!B8</f>
        <v/>
      </c>
      <c r="P42" s="5">
        <f>L42+E42+M42+N42+O42</f>
        <v/>
      </c>
      <c r="Q42" s="5" t="n">
        <v>1900</v>
      </c>
      <c r="R42" s="5">
        <f>P42-Q42</f>
        <v/>
      </c>
      <c r="S42" t="n">
        <v>1.4</v>
      </c>
      <c r="T42" t="n">
        <v>9.699999999999999</v>
      </c>
      <c r="U42" t="n">
        <v>9.300000000000001</v>
      </c>
      <c r="V42" s="8" t="n">
        <v>2.1</v>
      </c>
      <c r="W42" t="inlineStr">
        <is>
          <t>Yellow</t>
        </is>
      </c>
    </row>
    <row r="43">
      <c r="A43" s="9" t="inlineStr">
        <is>
          <t>2-Bedrooms Plan, Quincy, MA 02169</t>
        </is>
      </c>
      <c r="B43" t="inlineStr">
        <is>
          <t>Quincy</t>
        </is>
      </c>
      <c r="C43" s="7" t="inlineStr">
        <is>
          <t>https://www.redfin.com/MA/Quincy/Quincy/2-Bedrooms/home/197950891</t>
        </is>
      </c>
      <c r="D43" s="5" t="n">
        <v>599000</v>
      </c>
      <c r="E43" s="5" t="n">
        <v>0</v>
      </c>
      <c r="F43" t="inlineStr">
        <is>
          <t>2bd/2.0ba</t>
        </is>
      </c>
      <c r="G43" s="4" t="n">
        <v>900</v>
      </c>
      <c r="H43" t="inlineStr">
        <is>
          <t>No</t>
        </is>
      </c>
      <c r="I43" t="inlineStr">
        <is>
          <t>Unknown</t>
        </is>
      </c>
      <c r="J43" s="5">
        <f>D43*Assumptions!B3</f>
        <v/>
      </c>
      <c r="K43" s="5">
        <f>D43-J43</f>
        <v/>
      </c>
      <c r="L43" s="5">
        <f>-PMT(Assumptions!B2/12,Assumptions!B4*12,K43)</f>
        <v/>
      </c>
      <c r="M43" s="5">
        <f>D43*Assumptions!B5/12</f>
        <v/>
      </c>
      <c r="N43" s="5">
        <f>Assumptions!B6</f>
        <v/>
      </c>
      <c r="O43" s="5">
        <f>Assumptions!B7+Assumptions!B8</f>
        <v/>
      </c>
      <c r="P43" s="5">
        <f>L43+E43+M43+N43+O43</f>
        <v/>
      </c>
      <c r="Q43" s="5" t="n">
        <v>1800</v>
      </c>
      <c r="R43" s="5">
        <f>P43-Q43</f>
        <v/>
      </c>
      <c r="S43" t="n">
        <v>1.4</v>
      </c>
      <c r="T43" t="n">
        <v>17.1</v>
      </c>
      <c r="U43" t="n">
        <v>21.2</v>
      </c>
      <c r="V43" s="8" t="n">
        <v>2.05</v>
      </c>
      <c r="W43" t="inlineStr">
        <is>
          <t>Yellow</t>
        </is>
      </c>
    </row>
    <row r="44">
      <c r="A44" s="9" t="inlineStr">
        <is>
          <t>31 Aldrich Rd #1, Watertown, MA 02472</t>
        </is>
      </c>
      <c r="B44" t="inlineStr">
        <is>
          <t>Watertown</t>
        </is>
      </c>
      <c r="C44" s="7" t="inlineStr">
        <is>
          <t>https://www.redfin.com/MA/Watertown/31-Aldrich-Rd-02472/unit-1/home/11704970</t>
        </is>
      </c>
      <c r="D44" s="5" t="n">
        <v>500000</v>
      </c>
      <c r="E44" s="5" t="n">
        <v>225</v>
      </c>
      <c r="F44" t="inlineStr">
        <is>
          <t>2bd/1.0ba</t>
        </is>
      </c>
      <c r="G44" s="4" t="n">
        <v>753</v>
      </c>
      <c r="H44" t="inlineStr">
        <is>
          <t>No</t>
        </is>
      </c>
      <c r="I44" t="inlineStr">
        <is>
          <t>2 spaces</t>
        </is>
      </c>
      <c r="J44" s="5">
        <f>D44*Assumptions!B3</f>
        <v/>
      </c>
      <c r="K44" s="5">
        <f>D44-J44</f>
        <v/>
      </c>
      <c r="L44" s="5">
        <f>-PMT(Assumptions!B2/12,Assumptions!B4*12,K44)</f>
        <v/>
      </c>
      <c r="M44" s="5">
        <f>D44*Assumptions!B5/12</f>
        <v/>
      </c>
      <c r="N44" s="5">
        <f>Assumptions!B6</f>
        <v/>
      </c>
      <c r="O44" s="5">
        <f>Assumptions!B7+Assumptions!B8</f>
        <v/>
      </c>
      <c r="P44" s="5">
        <f>L44+E44+M44+N44+O44</f>
        <v/>
      </c>
      <c r="Q44" s="5" t="n">
        <v>2100</v>
      </c>
      <c r="R44" s="5">
        <f>P44-Q44</f>
        <v/>
      </c>
      <c r="S44" t="n">
        <v>8.699999999999999</v>
      </c>
      <c r="T44" t="n">
        <v>15.1</v>
      </c>
      <c r="U44" t="n">
        <v>15.6</v>
      </c>
      <c r="V44" s="8" t="n">
        <v>2.05</v>
      </c>
      <c r="W44" t="inlineStr">
        <is>
          <t>Yellow</t>
        </is>
      </c>
    </row>
    <row r="45">
      <c r="A45" s="9" t="inlineStr">
        <is>
          <t>147 Langdon Ave #1, Watertown, MA 02472</t>
        </is>
      </c>
      <c r="B45" t="inlineStr">
        <is>
          <t>Watertown</t>
        </is>
      </c>
      <c r="C45" s="7" t="inlineStr">
        <is>
          <t>https://www.redfin.com/MA/Watertown/147-Langdon-Ave-02472/unit-1/home/199969479</t>
        </is>
      </c>
      <c r="D45" s="5" t="n">
        <v>569000</v>
      </c>
      <c r="E45" s="5" t="n">
        <v>200</v>
      </c>
      <c r="F45" t="inlineStr">
        <is>
          <t>2bd/1.0ba</t>
        </is>
      </c>
      <c r="G45" s="4" t="n">
        <v>940</v>
      </c>
      <c r="H45" t="inlineStr">
        <is>
          <t>No</t>
        </is>
      </c>
      <c r="I45" t="inlineStr">
        <is>
          <t>4 spaces</t>
        </is>
      </c>
      <c r="J45" s="5">
        <f>D45*Assumptions!B3</f>
        <v/>
      </c>
      <c r="K45" s="5">
        <f>D45-J45</f>
        <v/>
      </c>
      <c r="L45" s="5">
        <f>-PMT(Assumptions!B2/12,Assumptions!B4*12,K45)</f>
        <v/>
      </c>
      <c r="M45" s="5">
        <f>D45*Assumptions!B5/12</f>
        <v/>
      </c>
      <c r="N45" s="5">
        <f>Assumptions!B6</f>
        <v/>
      </c>
      <c r="O45" s="5">
        <f>Assumptions!B7+Assumptions!B8</f>
        <v/>
      </c>
      <c r="P45" s="5">
        <f>L45+E45+M45+N45+O45</f>
        <v/>
      </c>
      <c r="Q45" s="5" t="n">
        <v>2100</v>
      </c>
      <c r="R45" s="5">
        <f>P45-Q45</f>
        <v/>
      </c>
      <c r="S45" t="n">
        <v>6.3</v>
      </c>
      <c r="T45" t="n">
        <v>15.5</v>
      </c>
      <c r="U45" t="n">
        <v>13.1</v>
      </c>
      <c r="V45" s="8" t="n">
        <v>2.05</v>
      </c>
      <c r="W45" t="inlineStr">
        <is>
          <t>Yellow</t>
        </is>
      </c>
    </row>
    <row r="46">
      <c r="A46" s="9" t="inlineStr">
        <is>
          <t>9 Henry St #9, Belmont, MA 02478</t>
        </is>
      </c>
      <c r="B46" t="inlineStr">
        <is>
          <t>Belmont</t>
        </is>
      </c>
      <c r="C46" s="7" t="inlineStr">
        <is>
          <t>https://www.redfin.com/MA/Belmont/9-Henry-St-02478/unit-9/home/77513972</t>
        </is>
      </c>
      <c r="D46" s="5" t="n">
        <v>575000</v>
      </c>
      <c r="E46" s="5" t="n">
        <v>200</v>
      </c>
      <c r="F46" t="inlineStr">
        <is>
          <t>2bd/1.0ba</t>
        </is>
      </c>
      <c r="G46" s="4" t="n">
        <v>724</v>
      </c>
      <c r="H46" t="inlineStr">
        <is>
          <t>No</t>
        </is>
      </c>
      <c r="I46" t="inlineStr">
        <is>
          <t>2 spaces</t>
        </is>
      </c>
      <c r="J46" s="5">
        <f>D46*Assumptions!B3</f>
        <v/>
      </c>
      <c r="K46" s="5">
        <f>D46-J46</f>
        <v/>
      </c>
      <c r="L46" s="5">
        <f>-PMT(Assumptions!B2/12,Assumptions!B4*12,K46)</f>
        <v/>
      </c>
      <c r="M46" s="5">
        <f>D46*Assumptions!B5/12</f>
        <v/>
      </c>
      <c r="N46" s="5">
        <f>Assumptions!B6</f>
        <v/>
      </c>
      <c r="O46" s="5">
        <f>Assumptions!B7+Assumptions!B8</f>
        <v/>
      </c>
      <c r="P46" s="5">
        <f>L46+E46+M46+N46+O46</f>
        <v/>
      </c>
      <c r="Q46" s="5" t="n">
        <v>2100</v>
      </c>
      <c r="R46" s="5">
        <f>P46-Q46</f>
        <v/>
      </c>
      <c r="S46" t="n">
        <v>7.3</v>
      </c>
      <c r="T46" t="n">
        <v>18.8</v>
      </c>
      <c r="U46" t="n">
        <v>16.4</v>
      </c>
      <c r="V46" s="8" t="n">
        <v>1.95</v>
      </c>
      <c r="W46" t="inlineStr">
        <is>
          <t>Yellow</t>
        </is>
      </c>
    </row>
    <row r="47">
      <c r="A47" s="9" t="inlineStr">
        <is>
          <t>60 Sutherland Rd #4, Brighton, MA 02135</t>
        </is>
      </c>
      <c r="B47" t="inlineStr">
        <is>
          <t>Brighton</t>
        </is>
      </c>
      <c r="C47" s="7" t="inlineStr">
        <is>
          <t>https://www.redfin.com/MA/Brighton/60-Sutherland-Rd-02135/unit-4/home/9026345</t>
        </is>
      </c>
      <c r="D47" s="5" t="n">
        <v>585000</v>
      </c>
      <c r="E47" s="5" t="n">
        <v>492</v>
      </c>
      <c r="F47" t="inlineStr">
        <is>
          <t>2bd/1.0ba</t>
        </is>
      </c>
      <c r="G47" s="4" t="n">
        <v>877</v>
      </c>
      <c r="H47" t="inlineStr">
        <is>
          <t>No</t>
        </is>
      </c>
      <c r="I47" t="inlineStr">
        <is>
          <t>1 space</t>
        </is>
      </c>
      <c r="J47" s="5">
        <f>D47*Assumptions!B3</f>
        <v/>
      </c>
      <c r="K47" s="5">
        <f>D47-J47</f>
        <v/>
      </c>
      <c r="L47" s="5">
        <f>-PMT(Assumptions!B2/12,Assumptions!B4*12,K47)</f>
        <v/>
      </c>
      <c r="M47" s="5">
        <f>D47*Assumptions!B5/12</f>
        <v/>
      </c>
      <c r="N47" s="5">
        <f>Assumptions!B6</f>
        <v/>
      </c>
      <c r="O47" s="5">
        <f>Assumptions!B7+Assumptions!B8</f>
        <v/>
      </c>
      <c r="P47" s="5">
        <f>L47+E47+M47+N47+O47</f>
        <v/>
      </c>
      <c r="Q47" s="5" t="n">
        <v>2000</v>
      </c>
      <c r="R47" s="5">
        <f>P47-Q47</f>
        <v/>
      </c>
      <c r="S47" t="n">
        <v>0.8</v>
      </c>
      <c r="T47" t="n">
        <v>15.3</v>
      </c>
      <c r="U47" t="n">
        <v>13.6</v>
      </c>
      <c r="V47" s="8" t="n">
        <v>1.95</v>
      </c>
      <c r="W47" t="inlineStr">
        <is>
          <t>Yellow</t>
        </is>
      </c>
    </row>
    <row r="48">
      <c r="A48" s="9" t="inlineStr">
        <is>
          <t>7 Lothian Rd Unit B, Brighton, MA 02135</t>
        </is>
      </c>
      <c r="B48" t="inlineStr">
        <is>
          <t>Brighton</t>
        </is>
      </c>
      <c r="C48" s="7" t="inlineStr">
        <is>
          <t>https://www.redfin.com/MA/Brighton/7-Lothian-Rd-02135/unit-B/home/9025402</t>
        </is>
      </c>
      <c r="D48" s="5" t="n">
        <v>539900</v>
      </c>
      <c r="E48" s="5" t="n">
        <v>417</v>
      </c>
      <c r="F48" t="inlineStr">
        <is>
          <t>3bd/1.0ba</t>
        </is>
      </c>
      <c r="G48" s="4" t="n">
        <v>900</v>
      </c>
      <c r="H48" t="inlineStr">
        <is>
          <t>No</t>
        </is>
      </c>
      <c r="I48" t="inlineStr">
        <is>
          <t>0 spaces</t>
        </is>
      </c>
      <c r="J48" s="5">
        <f>D48*Assumptions!B3</f>
        <v/>
      </c>
      <c r="K48" s="5">
        <f>D48-J48</f>
        <v/>
      </c>
      <c r="L48" s="5">
        <f>-PMT(Assumptions!B2/12,Assumptions!B4*12,K48)</f>
        <v/>
      </c>
      <c r="M48" s="5">
        <f>D48*Assumptions!B5/12</f>
        <v/>
      </c>
      <c r="N48" s="5">
        <f>Assumptions!B6</f>
        <v/>
      </c>
      <c r="O48" s="5">
        <f>Assumptions!B7+Assumptions!B8</f>
        <v/>
      </c>
      <c r="P48" s="5">
        <f>L48+E48+M48+N48+O48</f>
        <v/>
      </c>
      <c r="Q48" s="5" t="n">
        <v>2000</v>
      </c>
      <c r="R48" s="5">
        <f>P48-Q48</f>
        <v/>
      </c>
      <c r="S48" t="n">
        <v>1.2</v>
      </c>
      <c r="T48" t="n">
        <v>16</v>
      </c>
      <c r="U48" t="n">
        <v>14.4</v>
      </c>
      <c r="V48" s="8" t="n">
        <v>1.95</v>
      </c>
      <c r="W48" t="inlineStr">
        <is>
          <t>Yellow</t>
        </is>
      </c>
    </row>
    <row r="49">
      <c r="A49" s="9" t="inlineStr">
        <is>
          <t>50 Leo M Birmingham Pkwy #303, Boston, MA 02135</t>
        </is>
      </c>
      <c r="B49" t="inlineStr">
        <is>
          <t>Brighton</t>
        </is>
      </c>
      <c r="C49" s="7" t="inlineStr">
        <is>
          <t>https://www.redfin.com/MA/Boston/50-Leo-M-Birmingham-Pkwy-02135/unit-303/home/177960883</t>
        </is>
      </c>
      <c r="D49" s="5" t="n">
        <v>598000</v>
      </c>
      <c r="E49" s="5" t="n">
        <v>465</v>
      </c>
      <c r="F49" t="inlineStr">
        <is>
          <t>1bd/1.0ba</t>
        </is>
      </c>
      <c r="G49" s="4" t="n">
        <v>708</v>
      </c>
      <c r="H49" t="inlineStr">
        <is>
          <t>No</t>
        </is>
      </c>
      <c r="I49" t="inlineStr">
        <is>
          <t>1 space</t>
        </is>
      </c>
      <c r="J49" s="5">
        <f>D49*Assumptions!B3</f>
        <v/>
      </c>
      <c r="K49" s="5">
        <f>D49-J49</f>
        <v/>
      </c>
      <c r="L49" s="5">
        <f>-PMT(Assumptions!B2/12,Assumptions!B4*12,K49)</f>
        <v/>
      </c>
      <c r="M49" s="5">
        <f>D49*Assumptions!B5/12</f>
        <v/>
      </c>
      <c r="N49" s="5">
        <f>Assumptions!B6</f>
        <v/>
      </c>
      <c r="O49" s="5">
        <f>Assumptions!B7+Assumptions!B8</f>
        <v/>
      </c>
      <c r="P49" s="5">
        <f>L49+E49+M49+N49+O49</f>
        <v/>
      </c>
      <c r="Q49" s="5" t="n">
        <v>2000</v>
      </c>
      <c r="R49" s="5">
        <f>P49-Q49</f>
        <v/>
      </c>
      <c r="S49" t="n">
        <v>5.7</v>
      </c>
      <c r="T49" t="n">
        <v>12.9</v>
      </c>
      <c r="U49" t="n">
        <v>12.5</v>
      </c>
      <c r="V49" s="8" t="n">
        <v>1.95</v>
      </c>
      <c r="W49" t="inlineStr">
        <is>
          <t>Yellow</t>
        </is>
      </c>
    </row>
    <row r="50">
      <c r="A50" s="9" t="inlineStr">
        <is>
          <t>87 Franklin St #105, Quincy, MA 02169</t>
        </is>
      </c>
      <c r="B50" t="inlineStr">
        <is>
          <t>Quincy</t>
        </is>
      </c>
      <c r="C50" s="7" t="inlineStr">
        <is>
          <t>https://www.redfin.com/MA/Quincy/87-Franklin-St-02169/unit-105/home/9037092</t>
        </is>
      </c>
      <c r="D50" s="5" t="n">
        <v>544900</v>
      </c>
      <c r="E50" s="5" t="n">
        <v>322</v>
      </c>
      <c r="F50" t="inlineStr">
        <is>
          <t>2bd/2.0ba</t>
        </is>
      </c>
      <c r="G50" s="4" t="n">
        <v>1218</v>
      </c>
      <c r="H50" t="inlineStr">
        <is>
          <t>No</t>
        </is>
      </c>
      <c r="I50" t="inlineStr">
        <is>
          <t>2 spaces</t>
        </is>
      </c>
      <c r="J50" s="5">
        <f>D50*Assumptions!B3</f>
        <v/>
      </c>
      <c r="K50" s="5">
        <f>D50-J50</f>
        <v/>
      </c>
      <c r="L50" s="5">
        <f>-PMT(Assumptions!B2/12,Assumptions!B4*12,K50)</f>
        <v/>
      </c>
      <c r="M50" s="5">
        <f>D50*Assumptions!B5/12</f>
        <v/>
      </c>
      <c r="N50" s="5">
        <f>Assumptions!B6</f>
        <v/>
      </c>
      <c r="O50" s="5">
        <f>Assumptions!B7+Assumptions!B8</f>
        <v/>
      </c>
      <c r="P50" s="5">
        <f>L50+E50+M50+N50+O50</f>
        <v/>
      </c>
      <c r="Q50" s="5" t="n">
        <v>1800</v>
      </c>
      <c r="R50" s="5">
        <f>P50-Q50</f>
        <v/>
      </c>
      <c r="S50" t="n">
        <v>4.1</v>
      </c>
      <c r="T50" t="n">
        <v>19.3</v>
      </c>
      <c r="U50" t="n">
        <v>23.4</v>
      </c>
      <c r="V50" s="8" t="n">
        <v>1.95</v>
      </c>
      <c r="W50" t="inlineStr">
        <is>
          <t>Yellow</t>
        </is>
      </c>
    </row>
    <row r="51">
      <c r="A51" s="9" t="inlineStr">
        <is>
          <t>65 Strathmore Rd #49, Brighton, MA 02135</t>
        </is>
      </c>
      <c r="B51" t="inlineStr">
        <is>
          <t>Brighton</t>
        </is>
      </c>
      <c r="C51" s="7" t="inlineStr">
        <is>
          <t>https://www.redfin.com/MA/Brighton/65-Strathmore-Rd-02135/unit-49/home/9024664</t>
        </is>
      </c>
      <c r="D51" s="5" t="n">
        <v>530000</v>
      </c>
      <c r="E51" s="5" t="n">
        <v>483</v>
      </c>
      <c r="F51" t="inlineStr">
        <is>
          <t>1bd/1.0ba</t>
        </is>
      </c>
      <c r="G51" s="4" t="n">
        <v>764</v>
      </c>
      <c r="H51" t="inlineStr">
        <is>
          <t>No</t>
        </is>
      </c>
      <c r="I51" t="inlineStr">
        <is>
          <t>0 spaces</t>
        </is>
      </c>
      <c r="J51" s="5">
        <f>D51*Assumptions!B3</f>
        <v/>
      </c>
      <c r="K51" s="5">
        <f>D51-J51</f>
        <v/>
      </c>
      <c r="L51" s="5">
        <f>-PMT(Assumptions!B2/12,Assumptions!B4*12,K51)</f>
        <v/>
      </c>
      <c r="M51" s="5">
        <f>D51*Assumptions!B5/12</f>
        <v/>
      </c>
      <c r="N51" s="5">
        <f>Assumptions!B6</f>
        <v/>
      </c>
      <c r="O51" s="5">
        <f>Assumptions!B7+Assumptions!B8</f>
        <v/>
      </c>
      <c r="P51" s="5">
        <f>L51+E51+M51+N51+O51</f>
        <v/>
      </c>
      <c r="Q51" s="5" t="n">
        <v>2000</v>
      </c>
      <c r="R51" s="5">
        <f>P51-Q51</f>
        <v/>
      </c>
      <c r="S51" t="n">
        <v>2.1</v>
      </c>
      <c r="T51" t="n">
        <v>15.3</v>
      </c>
      <c r="U51" t="n">
        <v>14.5</v>
      </c>
      <c r="V51" s="8" t="n">
        <v>1.9</v>
      </c>
      <c r="W51" t="inlineStr">
        <is>
          <t>Yellow</t>
        </is>
      </c>
    </row>
    <row r="52">
      <c r="A52" s="9" t="inlineStr">
        <is>
          <t>99 Tremont St #105, Brighton, MA 02135</t>
        </is>
      </c>
      <c r="B52" t="inlineStr">
        <is>
          <t>Brighton</t>
        </is>
      </c>
      <c r="C52" s="7" t="inlineStr">
        <is>
          <t>https://www.redfin.com/MA/Brighton/99-Tremont-St-02135/unit-105/home/144873670</t>
        </is>
      </c>
      <c r="D52" s="5" t="n">
        <v>520000</v>
      </c>
      <c r="E52" s="5" t="n">
        <v>437</v>
      </c>
      <c r="F52" t="inlineStr">
        <is>
          <t>?bd/1.0ba</t>
        </is>
      </c>
      <c r="G52" s="4" t="n">
        <v>616</v>
      </c>
      <c r="H52" t="inlineStr">
        <is>
          <t>No</t>
        </is>
      </c>
      <c r="I52" t="inlineStr">
        <is>
          <t>1 space</t>
        </is>
      </c>
      <c r="J52" s="5">
        <f>D52*Assumptions!B3</f>
        <v/>
      </c>
      <c r="K52" s="5">
        <f>D52-J52</f>
        <v/>
      </c>
      <c r="L52" s="5">
        <f>-PMT(Assumptions!B2/12,Assumptions!B4*12,K52)</f>
        <v/>
      </c>
      <c r="M52" s="5">
        <f>D52*Assumptions!B5/12</f>
        <v/>
      </c>
      <c r="N52" s="5">
        <f>Assumptions!B6</f>
        <v/>
      </c>
      <c r="O52" s="5">
        <f>Assumptions!B7+Assumptions!B8</f>
        <v/>
      </c>
      <c r="P52" s="5">
        <f>L52+E52+M52+N52+O52</f>
        <v/>
      </c>
      <c r="Q52" s="5" t="n">
        <v>2000</v>
      </c>
      <c r="R52" s="5">
        <f>P52-Q52</f>
        <v/>
      </c>
      <c r="S52" t="n">
        <v>6.1</v>
      </c>
      <c r="T52" t="n">
        <v>14.2</v>
      </c>
      <c r="U52" t="n">
        <v>14.7</v>
      </c>
      <c r="V52" s="8" t="n">
        <v>1.9</v>
      </c>
      <c r="W52" t="inlineStr">
        <is>
          <t>Yellow</t>
        </is>
      </c>
    </row>
    <row r="53">
      <c r="A53" s="9" t="inlineStr">
        <is>
          <t>21 Totman St #404, Quincy, MA 02169</t>
        </is>
      </c>
      <c r="B53" t="inlineStr">
        <is>
          <t>Quincy</t>
        </is>
      </c>
      <c r="C53" s="7" t="inlineStr">
        <is>
          <t>https://www.redfin.com/MA/Quincy/21-Totman-St-02169/unit-404/home/199967272</t>
        </is>
      </c>
      <c r="D53" s="5" t="n">
        <v>500000</v>
      </c>
      <c r="E53" s="5" t="n">
        <v>327</v>
      </c>
      <c r="F53" t="inlineStr">
        <is>
          <t>1bd/1.0ba</t>
        </is>
      </c>
      <c r="G53" s="4" t="n">
        <v>679</v>
      </c>
      <c r="H53" t="inlineStr">
        <is>
          <t>No</t>
        </is>
      </c>
      <c r="I53" t="inlineStr">
        <is>
          <t>1 space</t>
        </is>
      </c>
      <c r="J53" s="5">
        <f>D53*Assumptions!B3</f>
        <v/>
      </c>
      <c r="K53" s="5">
        <f>D53-J53</f>
        <v/>
      </c>
      <c r="L53" s="5">
        <f>-PMT(Assumptions!B2/12,Assumptions!B4*12,K53)</f>
        <v/>
      </c>
      <c r="M53" s="5">
        <f>D53*Assumptions!B5/12</f>
        <v/>
      </c>
      <c r="N53" s="5">
        <f>Assumptions!B6</f>
        <v/>
      </c>
      <c r="O53" s="5">
        <f>Assumptions!B7+Assumptions!B8</f>
        <v/>
      </c>
      <c r="P53" s="5">
        <f>L53+E53+M53+N53+O53</f>
        <v/>
      </c>
      <c r="Q53" s="5" t="n">
        <v>1800</v>
      </c>
      <c r="R53" s="5">
        <f>P53-Q53</f>
        <v/>
      </c>
      <c r="S53" t="n">
        <v>2.3</v>
      </c>
      <c r="T53" t="n">
        <v>18.3</v>
      </c>
      <c r="U53" t="n">
        <v>22.4</v>
      </c>
      <c r="V53" s="8" t="n">
        <v>1.85</v>
      </c>
      <c r="W53" t="inlineStr">
        <is>
          <t>Yellow</t>
        </is>
      </c>
    </row>
    <row r="54">
      <c r="A54" s="9" t="inlineStr">
        <is>
          <t>290 Pleasant St #113, Watertown, MA 02471</t>
        </is>
      </c>
      <c r="B54" t="inlineStr">
        <is>
          <t>Watertown</t>
        </is>
      </c>
      <c r="C54" s="7" t="inlineStr">
        <is>
          <t>https://www.redfin.com/MA/Watertown/290-Pleasant-St-02472/unit-113/home/12404099</t>
        </is>
      </c>
      <c r="D54" s="5" t="n">
        <v>539900</v>
      </c>
      <c r="E54" s="5" t="n">
        <v>485</v>
      </c>
      <c r="F54" t="inlineStr">
        <is>
          <t>1bd/1.0ba</t>
        </is>
      </c>
      <c r="G54" s="4" t="n">
        <v>941</v>
      </c>
      <c r="H54" t="inlineStr">
        <is>
          <t>No</t>
        </is>
      </c>
      <c r="I54" t="inlineStr">
        <is>
          <t>2 spaces</t>
        </is>
      </c>
      <c r="J54" s="5">
        <f>D54*Assumptions!B3</f>
        <v/>
      </c>
      <c r="K54" s="5">
        <f>D54-J54</f>
        <v/>
      </c>
      <c r="L54" s="5">
        <f>-PMT(Assumptions!B2/12,Assumptions!B4*12,K54)</f>
        <v/>
      </c>
      <c r="M54" s="5">
        <f>D54*Assumptions!B5/12</f>
        <v/>
      </c>
      <c r="N54" s="5">
        <f>Assumptions!B6</f>
        <v/>
      </c>
      <c r="O54" s="5">
        <f>Assumptions!B7+Assumptions!B8</f>
        <v/>
      </c>
      <c r="P54" s="5">
        <f>L54+E54+M54+N54+O54</f>
        <v/>
      </c>
      <c r="Q54" s="5" t="n">
        <v>2100</v>
      </c>
      <c r="R54" s="5">
        <f>P54-Q54</f>
        <v/>
      </c>
      <c r="S54" t="n">
        <v>10.2</v>
      </c>
      <c r="T54" t="n">
        <v>17.2</v>
      </c>
      <c r="U54" t="n">
        <v>17.8</v>
      </c>
      <c r="V54" s="8" t="n">
        <v>1.75</v>
      </c>
      <c r="W54" t="inlineStr">
        <is>
          <t>Yellow</t>
        </is>
      </c>
    </row>
  </sheetData>
  <conditionalFormatting sqref="W2:W54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2026-02-19T00:49:02Z</dcterms:created>
  <dcterms:modified xsi:type="dcterms:W3CDTF">2026-02-19T00:49:02Z</dcterms:modified>
</cp:coreProperties>
</file>