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Quincy/40-Cross-St-02169/unit-1/home/8963459" TargetMode="External" Id="rId1" /><Relationship Type="http://schemas.openxmlformats.org/officeDocument/2006/relationships/hyperlink" Target="https://www.redfin.com/MA/Watertown/186-Lexington-St-02472/unit-8/home/11690422" TargetMode="External" Id="rId2" /><Relationship Type="http://schemas.openxmlformats.org/officeDocument/2006/relationships/hyperlink" Target="https://www.redfin.com/MA/Somerville/8-Avon-St-02143/unit-10/home/8759429" TargetMode="External" Id="rId3" /><Relationship Type="http://schemas.openxmlformats.org/officeDocument/2006/relationships/hyperlink" Target="https://www.redfin.com/MA/Quincy/195-Thomas-Burgin-Pkwy-02169/unit-301/home/8931809" TargetMode="External" Id="rId4" /><Relationship Type="http://schemas.openxmlformats.org/officeDocument/2006/relationships/hyperlink" Target="https://www.redfin.com/MA/Boston/64-Queensberry-St-02215/unit-114/home/9241481" TargetMode="External" Id="rId5" /><Relationship Type="http://schemas.openxmlformats.org/officeDocument/2006/relationships/hyperlink" Target="https://www.redfin.com/MA/Boston/191-Washington-St-02135/home/184088757" TargetMode="External" Id="rId6" /><Relationship Type="http://schemas.openxmlformats.org/officeDocument/2006/relationships/hyperlink" Target="https://www.redfin.com/MA/Quincy/388-Washington-St-02169/unit-101/home/200568725" TargetMode="External" Id="rId7" /><Relationship Type="http://schemas.openxmlformats.org/officeDocument/2006/relationships/hyperlink" Target="https://www.redfin.com/MA/Boston/191-Washington-St-02135/unit-317/home/176134081" TargetMode="External" Id="rId8" /><Relationship Type="http://schemas.openxmlformats.org/officeDocument/2006/relationships/hyperlink" Target="https://www.redfin.com/MA/Quincy/585-Washington-St-02169/unit-202/home/200582027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%</t>
        </is>
      </c>
      <c r="B3" s="3" t="n">
        <v>0.2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5" t="n">
        <v>150</v>
      </c>
    </row>
    <row r="7">
      <c r="A7" t="inlineStr">
        <is>
          <t>Utilities $/mo</t>
        </is>
      </c>
      <c r="B7" s="5" t="n">
        <v>250</v>
      </c>
    </row>
    <row r="8">
      <c r="A8" t="inlineStr">
        <is>
          <t>Internet $/mo</t>
        </is>
      </c>
      <c r="B8" s="5" t="n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23" customWidth="1" min="11" max="11"/>
    <col width="15" customWidth="1" min="12" max="12"/>
    <col width="50" customWidth="1" min="13" max="13"/>
    <col width="26" customWidth="1" min="14" max="14"/>
    <col width="19" customWidth="1" min="15" max="15"/>
    <col width="34" customWidth="1" min="16" max="16"/>
    <col width="24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6" t="inlineStr">
        <is>
          <t>40 Cross St #1, Quincy, MA 02169</t>
        </is>
      </c>
      <c r="B2" t="inlineStr">
        <is>
          <t>Quincy</t>
        </is>
      </c>
      <c r="C2" s="7" t="inlineStr">
        <is>
          <t>https://www.redfin.com/MA/Quincy/40-Cross-St-02169/unit-1/home/8963459</t>
        </is>
      </c>
      <c r="D2" s="5" t="n">
        <v>379900</v>
      </c>
      <c r="E2" s="5" t="n">
        <v>360</v>
      </c>
      <c r="F2" t="n">
        <v>2</v>
      </c>
      <c r="G2" t="n">
        <v>1</v>
      </c>
      <c r="H2" s="4" t="n">
        <v>1244</v>
      </c>
      <c r="I2" t="inlineStr">
        <is>
          <t>No</t>
        </is>
      </c>
      <c r="J2" t="inlineStr">
        <is>
          <t>1 space</t>
        </is>
      </c>
      <c r="K2" s="5">
        <f>D2*Assumptions!B3</f>
        <v/>
      </c>
      <c r="L2" s="5">
        <f>D2-K2</f>
        <v/>
      </c>
      <c r="M2" s="5">
        <f>-PMT(Assumptions!B2/12,Assumptions!B4*12,L2)</f>
        <v/>
      </c>
      <c r="N2" s="5">
        <f>D2*Assumptions!B5/12</f>
        <v/>
      </c>
      <c r="O2" s="5">
        <f>Assumptions!B6</f>
        <v/>
      </c>
      <c r="P2" s="5">
        <f>Assumptions!B7+Assumptions!B8</f>
        <v/>
      </c>
      <c r="Q2" s="5">
        <f>M2+E2+N2+O2+P2</f>
        <v/>
      </c>
      <c r="R2" s="5" t="n">
        <v>1170</v>
      </c>
      <c r="S2" s="5">
        <f>Q2-R2</f>
        <v/>
      </c>
      <c r="T2" t="n">
        <v>5.7</v>
      </c>
      <c r="U2" t="n">
        <v>15.7</v>
      </c>
      <c r="V2" t="n">
        <v>19.8</v>
      </c>
      <c r="W2" s="8" t="n">
        <v>2.45</v>
      </c>
      <c r="X2" t="inlineStr">
        <is>
          <t>Green</t>
        </is>
      </c>
    </row>
    <row r="3">
      <c r="A3" s="6" t="inlineStr">
        <is>
          <t>186 Lexington St #8, Watertown, MA 02472</t>
        </is>
      </c>
      <c r="B3" t="inlineStr">
        <is>
          <t>Watertown</t>
        </is>
      </c>
      <c r="C3" s="7" t="inlineStr">
        <is>
          <t>https://www.redfin.com/MA/Watertown/186-Lexington-St-02472/unit-8/home/11690422</t>
        </is>
      </c>
      <c r="D3" s="5" t="n">
        <v>394900</v>
      </c>
      <c r="E3" s="5" t="n">
        <v>350</v>
      </c>
      <c r="F3" t="n">
        <v>2</v>
      </c>
      <c r="G3" t="n">
        <v>1</v>
      </c>
      <c r="H3" s="4" t="n">
        <v>600</v>
      </c>
      <c r="I3" t="inlineStr">
        <is>
          <t>No</t>
        </is>
      </c>
      <c r="J3" t="inlineStr">
        <is>
          <t>1 space</t>
        </is>
      </c>
      <c r="K3" s="5">
        <f>D3*Assumptions!B3</f>
        <v/>
      </c>
      <c r="L3" s="5">
        <f>D3-K3</f>
        <v/>
      </c>
      <c r="M3" s="5">
        <f>-PMT(Assumptions!B2/12,Assumptions!B4*12,L3)</f>
        <v/>
      </c>
      <c r="N3" s="5">
        <f>D3*Assumptions!B5/12</f>
        <v/>
      </c>
      <c r="O3" s="5">
        <f>Assumptions!B6</f>
        <v/>
      </c>
      <c r="P3" s="5">
        <f>Assumptions!B7+Assumptions!B8</f>
        <v/>
      </c>
      <c r="Q3" s="5">
        <f>M3+E3+N3+O3+P3</f>
        <v/>
      </c>
      <c r="R3" s="5" t="n">
        <v>1365</v>
      </c>
      <c r="S3" s="5">
        <f>Q3-R3</f>
        <v/>
      </c>
      <c r="T3" t="n">
        <v>12.1</v>
      </c>
      <c r="U3" t="n">
        <v>18.5</v>
      </c>
      <c r="V3" t="n">
        <v>17.2</v>
      </c>
      <c r="W3" s="8" t="n">
        <v>2.45</v>
      </c>
      <c r="X3" t="inlineStr">
        <is>
          <t>Green</t>
        </is>
      </c>
    </row>
    <row r="4">
      <c r="A4" s="6" t="inlineStr">
        <is>
          <t>8 Avon St #10, Somerville, MA 02143</t>
        </is>
      </c>
      <c r="B4" t="inlineStr">
        <is>
          <t>Somerville</t>
        </is>
      </c>
      <c r="C4" s="7" t="inlineStr">
        <is>
          <t>https://www.redfin.com/MA/Somerville/8-Avon-St-02143/unit-10/home/8759429</t>
        </is>
      </c>
      <c r="D4" s="5" t="n">
        <v>500000</v>
      </c>
      <c r="E4" s="5" t="n">
        <v>288</v>
      </c>
      <c r="F4" t="n">
        <v>2</v>
      </c>
      <c r="G4" t="n">
        <v>1</v>
      </c>
      <c r="H4" s="4" t="n">
        <v>645</v>
      </c>
      <c r="I4" t="inlineStr">
        <is>
          <t>No</t>
        </is>
      </c>
      <c r="J4" t="inlineStr">
        <is>
          <t>1 space</t>
        </is>
      </c>
      <c r="K4" s="5">
        <f>D4*Assumptions!B3</f>
        <v/>
      </c>
      <c r="L4" s="5">
        <f>D4-K4</f>
        <v/>
      </c>
      <c r="M4" s="5">
        <f>-PMT(Assumptions!B2/12,Assumptions!B4*12,L4)</f>
        <v/>
      </c>
      <c r="N4" s="5">
        <f>D4*Assumptions!B5/12</f>
        <v/>
      </c>
      <c r="O4" s="5">
        <f>Assumptions!B6</f>
        <v/>
      </c>
      <c r="P4" s="5">
        <f>Assumptions!B7+Assumptions!B8</f>
        <v/>
      </c>
      <c r="Q4" s="5">
        <f>M4+E4+N4+O4+P4</f>
        <v/>
      </c>
      <c r="R4" s="5" t="n">
        <v>1495</v>
      </c>
      <c r="S4" s="5">
        <f>Q4-R4</f>
        <v/>
      </c>
      <c r="T4" t="n">
        <v>3.4</v>
      </c>
      <c r="U4" t="n">
        <v>11.9</v>
      </c>
      <c r="V4" t="n">
        <v>7.6</v>
      </c>
      <c r="W4" s="8" t="n">
        <v>2.3</v>
      </c>
      <c r="X4" t="inlineStr">
        <is>
          <t>Green</t>
        </is>
      </c>
    </row>
    <row r="5">
      <c r="A5" s="9" t="inlineStr">
        <is>
          <t>195 Thomas Burgin Pkwy #301, Quincy, MA 02169</t>
        </is>
      </c>
      <c r="B5" t="inlineStr">
        <is>
          <t>Quincy</t>
        </is>
      </c>
      <c r="C5" s="7" t="inlineStr">
        <is>
          <t>https://www.redfin.com/MA/Quincy/195-Thomas-Burgin-Pkwy-02169/unit-301/home/8931809</t>
        </is>
      </c>
      <c r="D5" s="5" t="n">
        <v>250000</v>
      </c>
      <c r="E5" s="5" t="n">
        <v>393</v>
      </c>
      <c r="F5" t="n">
        <v>1</v>
      </c>
      <c r="G5" t="n">
        <v>1</v>
      </c>
      <c r="H5" s="4" t="n">
        <v>447</v>
      </c>
      <c r="I5" t="inlineStr">
        <is>
          <t>No</t>
        </is>
      </c>
      <c r="J5" t="inlineStr">
        <is>
          <t>0 spaces</t>
        </is>
      </c>
      <c r="K5" s="5">
        <f>D5*Assumptions!B3</f>
        <v/>
      </c>
      <c r="L5" s="5">
        <f>D5-K5</f>
        <v/>
      </c>
      <c r="M5" s="5">
        <f>-PMT(Assumptions!B2/12,Assumptions!B4*12,L5)</f>
        <v/>
      </c>
      <c r="N5" s="5">
        <f>D5*Assumptions!B5/12</f>
        <v/>
      </c>
      <c r="O5" s="5">
        <f>Assumptions!B6</f>
        <v/>
      </c>
      <c r="P5" s="5">
        <f>Assumptions!B7+Assumptions!B8</f>
        <v/>
      </c>
      <c r="Q5" s="5">
        <f>M5+E5+N5+O5+P5</f>
        <v/>
      </c>
      <c r="R5" s="5" t="n">
        <v>0</v>
      </c>
      <c r="S5" s="5">
        <f>Q5-R5</f>
        <v/>
      </c>
      <c r="T5" t="n">
        <v>2.2</v>
      </c>
      <c r="U5" t="n">
        <v>17.6</v>
      </c>
      <c r="V5" t="n">
        <v>21.7</v>
      </c>
      <c r="W5" s="8" t="n">
        <v>2.15</v>
      </c>
      <c r="X5" t="inlineStr">
        <is>
          <t>Yellow</t>
        </is>
      </c>
    </row>
    <row r="6">
      <c r="A6" s="9" t="inlineStr">
        <is>
          <t>64 Queensberry St #114, Boston, MA 02215</t>
        </is>
      </c>
      <c r="B6" t="inlineStr">
        <is>
          <t>Brookline</t>
        </is>
      </c>
      <c r="C6" s="7" t="inlineStr">
        <is>
          <t>https://www.redfin.com/MA/Boston/64-Queensberry-St-02215/unit-114/home/9241481</t>
        </is>
      </c>
      <c r="D6" s="5" t="n">
        <v>425000</v>
      </c>
      <c r="E6" s="5" t="n">
        <v>395</v>
      </c>
      <c r="F6" t="n">
        <v>0</v>
      </c>
      <c r="G6" t="n">
        <v>1</v>
      </c>
      <c r="H6" s="4" t="n">
        <v>390</v>
      </c>
      <c r="I6" t="inlineStr">
        <is>
          <t>No</t>
        </is>
      </c>
      <c r="J6" t="inlineStr">
        <is>
          <t>0 spaces</t>
        </is>
      </c>
      <c r="K6" s="5">
        <f>D6*Assumptions!B3</f>
        <v/>
      </c>
      <c r="L6" s="5">
        <f>D6-K6</f>
        <v/>
      </c>
      <c r="M6" s="5">
        <f>-PMT(Assumptions!B2/12,Assumptions!B4*12,L6)</f>
        <v/>
      </c>
      <c r="N6" s="5">
        <f>D6*Assumptions!B5/12</f>
        <v/>
      </c>
      <c r="O6" s="5">
        <f>Assumptions!B6</f>
        <v/>
      </c>
      <c r="P6" s="5">
        <f>Assumptions!B7+Assumptions!B8</f>
        <v/>
      </c>
      <c r="Q6" s="5">
        <f>M6+E6+N6+O6+P6</f>
        <v/>
      </c>
      <c r="R6" s="5" t="n">
        <v>0</v>
      </c>
      <c r="S6" s="5">
        <f>Q6-R6</f>
        <v/>
      </c>
      <c r="T6" t="n">
        <v>1.3</v>
      </c>
      <c r="U6" t="n">
        <v>11.9</v>
      </c>
      <c r="V6" t="n">
        <v>9.1</v>
      </c>
      <c r="W6" s="8" t="n">
        <v>2.1</v>
      </c>
      <c r="X6" t="inlineStr">
        <is>
          <t>Yellow</t>
        </is>
      </c>
    </row>
    <row r="7">
      <c r="A7" s="9" t="inlineStr">
        <is>
          <t>191 Washington St, Boston, MA 02135</t>
        </is>
      </c>
      <c r="B7" t="inlineStr">
        <is>
          <t>Brighton</t>
        </is>
      </c>
      <c r="C7" s="7" t="inlineStr">
        <is>
          <t>https://www.redfin.com/MA/Boston/191-Washington-St-02135/home/184088757</t>
        </is>
      </c>
      <c r="D7" s="5" t="n">
        <v>564800</v>
      </c>
      <c r="E7" s="5" t="n">
        <v>0</v>
      </c>
      <c r="F7" t="n">
        <v>1</v>
      </c>
      <c r="G7" t="n">
        <v>1</v>
      </c>
      <c r="H7" s="4" t="n">
        <v>498</v>
      </c>
      <c r="I7" t="inlineStr">
        <is>
          <t>No</t>
        </is>
      </c>
      <c r="J7" t="inlineStr">
        <is>
          <t>0 spaces</t>
        </is>
      </c>
      <c r="K7" s="5">
        <f>D7*Assumptions!B3</f>
        <v/>
      </c>
      <c r="L7" s="5">
        <f>D7-K7</f>
        <v/>
      </c>
      <c r="M7" s="5">
        <f>-PMT(Assumptions!B2/12,Assumptions!B4*12,L7)</f>
        <v/>
      </c>
      <c r="N7" s="5">
        <f>D7*Assumptions!B5/12</f>
        <v/>
      </c>
      <c r="O7" s="5">
        <f>Assumptions!B6</f>
        <v/>
      </c>
      <c r="P7" s="5">
        <f>Assumptions!B7+Assumptions!B8</f>
        <v/>
      </c>
      <c r="Q7" s="5">
        <f>M7+E7+N7+O7+P7</f>
        <v/>
      </c>
      <c r="R7" s="5" t="n">
        <v>0</v>
      </c>
      <c r="S7" s="5">
        <f>Q7-R7</f>
        <v/>
      </c>
      <c r="T7" t="n">
        <v>2.1</v>
      </c>
      <c r="U7" t="n">
        <v>13.6</v>
      </c>
      <c r="V7" t="n">
        <v>13.2</v>
      </c>
      <c r="W7" s="8" t="n">
        <v>2</v>
      </c>
      <c r="X7" t="inlineStr">
        <is>
          <t>Yellow</t>
        </is>
      </c>
    </row>
    <row r="8">
      <c r="A8" s="9" t="inlineStr">
        <is>
          <t>388 Washington St #101, Quincy, MA 02169</t>
        </is>
      </c>
      <c r="B8" t="inlineStr">
        <is>
          <t>Quincy</t>
        </is>
      </c>
      <c r="C8" s="7" t="inlineStr">
        <is>
          <t>https://www.redfin.com/MA/Quincy/388-Washington-St-02169/unit-101/home/200568725</t>
        </is>
      </c>
      <c r="D8" s="5" t="n">
        <v>599000</v>
      </c>
      <c r="E8" s="5" t="n">
        <v>375</v>
      </c>
      <c r="F8" t="n">
        <v>2</v>
      </c>
      <c r="G8" t="n">
        <v>2</v>
      </c>
      <c r="H8" s="4" t="n">
        <v>983</v>
      </c>
      <c r="I8" t="inlineStr">
        <is>
          <t>No</t>
        </is>
      </c>
      <c r="J8" t="inlineStr">
        <is>
          <t>1 space</t>
        </is>
      </c>
      <c r="K8" s="5">
        <f>D8*Assumptions!B3</f>
        <v/>
      </c>
      <c r="L8" s="5">
        <f>D8-K8</f>
        <v/>
      </c>
      <c r="M8" s="5">
        <f>-PMT(Assumptions!B2/12,Assumptions!B4*12,L8)</f>
        <v/>
      </c>
      <c r="N8" s="5">
        <f>D8*Assumptions!B5/12</f>
        <v/>
      </c>
      <c r="O8" s="5">
        <f>Assumptions!B6</f>
        <v/>
      </c>
      <c r="P8" s="5">
        <f>Assumptions!B7+Assumptions!B8</f>
        <v/>
      </c>
      <c r="Q8" s="5">
        <f>M8+E8+N8+O8+P8</f>
        <v/>
      </c>
      <c r="R8" s="5" t="n">
        <v>1170</v>
      </c>
      <c r="S8" s="5">
        <f>Q8-R8</f>
        <v/>
      </c>
      <c r="T8" t="n">
        <v>2.7</v>
      </c>
      <c r="U8" t="n">
        <v>18.8</v>
      </c>
      <c r="V8" t="n">
        <v>22.9</v>
      </c>
      <c r="W8" s="8" t="n">
        <v>1.85</v>
      </c>
      <c r="X8" t="inlineStr">
        <is>
          <t>Yellow</t>
        </is>
      </c>
    </row>
    <row r="9">
      <c r="A9" s="9" t="inlineStr">
        <is>
          <t>191 Washington St #317, Boston, MA 02135</t>
        </is>
      </c>
      <c r="B9" t="inlineStr">
        <is>
          <t>Brighton</t>
        </is>
      </c>
      <c r="C9" s="7" t="inlineStr">
        <is>
          <t>https://www.redfin.com/MA/Boston/191-Washington-St-02135/unit-317/home/176134081</t>
        </is>
      </c>
      <c r="D9" s="5" t="n">
        <v>535000</v>
      </c>
      <c r="E9" s="5" t="n">
        <v>457</v>
      </c>
      <c r="F9" t="n">
        <v>1</v>
      </c>
      <c r="G9" t="n">
        <v>1</v>
      </c>
      <c r="H9" s="4" t="n">
        <v>498</v>
      </c>
      <c r="I9" t="inlineStr">
        <is>
          <t>No</t>
        </is>
      </c>
      <c r="J9" t="inlineStr">
        <is>
          <t>0 spaces</t>
        </is>
      </c>
      <c r="K9" s="5">
        <f>D9*Assumptions!B3</f>
        <v/>
      </c>
      <c r="L9" s="5">
        <f>D9-K9</f>
        <v/>
      </c>
      <c r="M9" s="5">
        <f>-PMT(Assumptions!B2/12,Assumptions!B4*12,L9)</f>
        <v/>
      </c>
      <c r="N9" s="5">
        <f>D9*Assumptions!B5/12</f>
        <v/>
      </c>
      <c r="O9" s="5">
        <f>Assumptions!B6</f>
        <v/>
      </c>
      <c r="P9" s="5">
        <f>Assumptions!B7+Assumptions!B8</f>
        <v/>
      </c>
      <c r="Q9" s="5">
        <f>M9+E9+N9+O9+P9</f>
        <v/>
      </c>
      <c r="R9" s="5" t="n">
        <v>0</v>
      </c>
      <c r="S9" s="5">
        <f>Q9-R9</f>
        <v/>
      </c>
      <c r="T9" t="n">
        <v>1.3</v>
      </c>
      <c r="U9" t="n">
        <v>13.8</v>
      </c>
      <c r="V9" t="n">
        <v>13.4</v>
      </c>
      <c r="W9" s="8" t="n">
        <v>1.8</v>
      </c>
      <c r="X9" t="inlineStr">
        <is>
          <t>Yellow</t>
        </is>
      </c>
    </row>
    <row r="10">
      <c r="A10" s="9" t="inlineStr">
        <is>
          <t>585 Washington St #202, Quincy, MA 02169</t>
        </is>
      </c>
      <c r="B10" t="inlineStr">
        <is>
          <t>Quincy</t>
        </is>
      </c>
      <c r="C10" s="7" t="inlineStr">
        <is>
          <t>https://www.redfin.com/MA/Quincy/585-Washington-St-02169/unit-202/home/200582027</t>
        </is>
      </c>
      <c r="D10" s="5" t="n">
        <v>600000</v>
      </c>
      <c r="E10" s="5" t="n">
        <v>250</v>
      </c>
      <c r="F10" t="n">
        <v>2</v>
      </c>
      <c r="G10" t="n">
        <v>2</v>
      </c>
      <c r="H10" s="4" t="n">
        <v>1203</v>
      </c>
      <c r="I10" t="inlineStr">
        <is>
          <t>No</t>
        </is>
      </c>
      <c r="J10" t="inlineStr">
        <is>
          <t>1 space</t>
        </is>
      </c>
      <c r="K10" s="5">
        <f>D10*Assumptions!B3</f>
        <v/>
      </c>
      <c r="L10" s="5">
        <f>D10-K10</f>
        <v/>
      </c>
      <c r="M10" s="5">
        <f>-PMT(Assumptions!B2/12,Assumptions!B4*12,L10)</f>
        <v/>
      </c>
      <c r="N10" s="5">
        <f>D10*Assumptions!B5/12</f>
        <v/>
      </c>
      <c r="O10" s="5">
        <f>Assumptions!B6</f>
        <v/>
      </c>
      <c r="P10" s="5">
        <f>Assumptions!B7+Assumptions!B8</f>
        <v/>
      </c>
      <c r="Q10" s="5">
        <f>M10+E10+N10+O10+P10</f>
        <v/>
      </c>
      <c r="R10" s="5" t="n">
        <v>1170</v>
      </c>
      <c r="S10" s="5">
        <f>Q10-R10</f>
        <v/>
      </c>
      <c r="T10" t="n">
        <v>3.5</v>
      </c>
      <c r="U10" t="n">
        <v>19.7</v>
      </c>
      <c r="V10" t="n">
        <v>23.7</v>
      </c>
      <c r="W10" s="8" t="n">
        <v>1.75</v>
      </c>
      <c r="X10" t="inlineStr">
        <is>
          <t>Yellow</t>
        </is>
      </c>
    </row>
  </sheetData>
  <conditionalFormatting sqref="X2:X10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2026-02-26T01:59:28Z</dcterms:created>
  <dcterms:modified xsi:type="dcterms:W3CDTF">2026-02-26T01:59:28Z</dcterms:modified>
</cp:coreProperties>
</file>