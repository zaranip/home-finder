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Cambridge/55-Magazine-St-02139/unit-12A/home/28439977" TargetMode="External" Id="rId1"/><Relationship Type="http://schemas.openxmlformats.org/officeDocument/2006/relationships/hyperlink" Target="https://www.redfin.com/MA/Somerville/40-Highland-Ave-02143/unit-8/home/8760102" TargetMode="External" Id="rId2"/><Relationship Type="http://schemas.openxmlformats.org/officeDocument/2006/relationships/hyperlink" Target="https://www.redfin.com/MA/Somerville/49-Heath-St-02145/unit-2/home/104237946" TargetMode="External" Id="rId3"/><Relationship Type="http://schemas.openxmlformats.org/officeDocument/2006/relationships/hyperlink" Target="https://www.redfin.com/MA/Quincy/781-Southern-Artery-02169/home/12458848" TargetMode="External" Id="rId4"/><Relationship Type="http://schemas.openxmlformats.org/officeDocument/2006/relationships/hyperlink" Target="https://www.redfin.com/MA/Quincy/79-Holbrook-Rd-02171/unit-2/home/9032633" TargetMode="External" Id="rId5"/><Relationship Type="http://schemas.openxmlformats.org/officeDocument/2006/relationships/hyperlink" Target="https://www.redfin.com/MA/Brighton/198-Allston-St-02135/unit-9/home/9013056" TargetMode="External" Id="rId6"/><Relationship Type="http://schemas.openxmlformats.org/officeDocument/2006/relationships/hyperlink" Target="https://www.redfin.com/MA/Allston/245-Kelton-St-02134/unit-11/home/9001030" TargetMode="External" Id="rId7"/><Relationship Type="http://schemas.openxmlformats.org/officeDocument/2006/relationships/hyperlink" Target="https://www.redfin.com/MA/Somerville/6-Bedford-St-02143/unit-3R/home/8759837" TargetMode="External" Id="rId8"/><Relationship Type="http://schemas.openxmlformats.org/officeDocument/2006/relationships/hyperlink" Target="https://www.redfin.com/MA/Somerville/6-Bedford-St-02143/unit-2F/home/8759728" TargetMode="External" Id="rId9"/><Relationship Type="http://schemas.openxmlformats.org/officeDocument/2006/relationships/hyperlink" Target="https://www.redfin.com/MA/Somerville/6-Bedford-St-02143/unit-3F/home/8760087" TargetMode="External" Id="rId10"/><Relationship Type="http://schemas.openxmlformats.org/officeDocument/2006/relationships/hyperlink" Target="https://www.redfin.com/MA/Quincy/212-Quincy-Shore-Dr-02171/home/9009303" TargetMode="External" Id="rId11"/><Relationship Type="http://schemas.openxmlformats.org/officeDocument/2006/relationships/hyperlink" Target="https://www.redfin.com/MA/Brighton/198-Allston-St-02135/unit-3/home/9013031" TargetMode="External" Id="rId12"/><Relationship Type="http://schemas.openxmlformats.org/officeDocument/2006/relationships/hyperlink" Target="https://www.redfin.com/MA/Quincy/211-West-St-02169/unit-4B/home/11720536" TargetMode="External" Id="rId13"/><Relationship Type="http://schemas.openxmlformats.org/officeDocument/2006/relationships/hyperlink" Target="https://www.redfin.com/MA/Watertown/4-Jensen-Rd-02472/unit-6/home/201411071" TargetMode="External" Id="rId14"/><Relationship Type="http://schemas.openxmlformats.org/officeDocument/2006/relationships/hyperlink" Target="https://www.redfin.com/MA/Somerville/301-Lowell-St-02145/unit-12/home/21886063" TargetMode="External" Id="rId15"/><Relationship Type="http://schemas.openxmlformats.org/officeDocument/2006/relationships/hyperlink" Target="https://www.redfin.com/MA/Cambridge/2931-Washburn-Ave-02140/unit-1B/home/201741454" TargetMode="External" Id="rId16"/><Relationship Type="http://schemas.openxmlformats.org/officeDocument/2006/relationships/hyperlink" Target="https://www.redfin.com/MA/Malden/0-Beachview-Ave-02148/home/199084591" TargetMode="External" Id="rId17"/><Relationship Type="http://schemas.openxmlformats.org/officeDocument/2006/relationships/hyperlink" Target="https://www.redfin.com/MA/Medford/0-Gordon-Rd-02155/home/187063221" TargetMode="External" Id="rId18"/><Relationship Type="http://schemas.openxmlformats.org/officeDocument/2006/relationships/hyperlink" Target="https://www.redfin.com/MA/Quincy/27-6th-Ave-02169/home/8946597" TargetMode="External" Id="rId19"/><Relationship Type="http://schemas.openxmlformats.org/officeDocument/2006/relationships/hyperlink" Target="https://www.redfin.com/MA/Malden/217-Highland-Ave-02148/unit-2/home/137151214" TargetMode="External" Id="rId20"/><Relationship Type="http://schemas.openxmlformats.org/officeDocument/2006/relationships/hyperlink" Target="https://www.redfin.com/MA/Allston/10-Scottfield-Rd-02134/unit-F2/home/201533574" TargetMode="External" Id="rId21"/><Relationship Type="http://schemas.openxmlformats.org/officeDocument/2006/relationships/hyperlink" Target="https://www.redfin.com/MA/Somerville/12-Knowlton-St-02145/unit-12A/home/12403816" TargetMode="External" Id="rId22"/><Relationship Type="http://schemas.openxmlformats.org/officeDocument/2006/relationships/hyperlink" Target="https://www.redfin.com/MA/Medford/32-Almont-St-02155/unit-32-1/home/11802621" TargetMode="External" Id="rId23"/><Relationship Type="http://schemas.openxmlformats.org/officeDocument/2006/relationships/hyperlink" Target="https://www.redfin.com/MA/Malden/22-Davis-St-02148/home/11425836" TargetMode="External" Id="rId24"/><Relationship Type="http://schemas.openxmlformats.org/officeDocument/2006/relationships/hyperlink" Target="https://www.redfin.com/MA/Quincy/18-Allerton-St-02169/home/110011603" TargetMode="External" Id="rId25"/><Relationship Type="http://schemas.openxmlformats.org/officeDocument/2006/relationships/hyperlink" Target="https://www.redfin.com/MA/Medford/12-Gaston-St-02155/home/11778344" TargetMode="External" Id="rId26"/><Relationship Type="http://schemas.openxmlformats.org/officeDocument/2006/relationships/hyperlink" Target="https://www.redfin.com/MA/Boston/69-Strathmore-Rd-02135/unit-69A/home/200893159" TargetMode="External" Id="rId27"/><Relationship Type="http://schemas.openxmlformats.org/officeDocument/2006/relationships/hyperlink" Target="https://www.redfin.com/MA/Brighton/317-Allston-St-02135/unit-5/home/11833307" TargetMode="External" Id="rId28"/><Relationship Type="http://schemas.openxmlformats.org/officeDocument/2006/relationships/hyperlink" Target="https://www.redfin.com/MA/Cambridge/140-Huron-Ave-02138/unit-7/home/11600056" TargetMode="External" Id="rId29"/><Relationship Type="http://schemas.openxmlformats.org/officeDocument/2006/relationships/hyperlink" Target="https://www.redfin.com/MA/Brookline/1253-Beacon-St-02446/unit-C3/home/11466322" TargetMode="External" Id="rId30"/><Relationship Type="http://schemas.openxmlformats.org/officeDocument/2006/relationships/hyperlink" Target="https://www.redfin.com/MA/Allston/45-Gordon-St-02134/unit-4/home/8999903" TargetMode="External" Id="rId31"/><Relationship Type="http://schemas.openxmlformats.org/officeDocument/2006/relationships/hyperlink" Target="https://www.redfin.com/MA/Brighton/12-14-Shannon-St-02135/unit-3/home/11838033" TargetMode="External" Id="rId32"/><Relationship Type="http://schemas.openxmlformats.org/officeDocument/2006/relationships/hyperlink" Target="https://www.redfin.com/MA/Somerville/102-Grant-St-02145/unit-B/home/196668060" TargetMode="External" Id="rId33"/><Relationship Type="http://schemas.openxmlformats.org/officeDocument/2006/relationships/hyperlink" Target="https://www.redfin.com/MA/Freetown/4-Summit-ST-02717/home/201528773" TargetMode="External" Id="rId34"/><Relationship Type="http://schemas.openxmlformats.org/officeDocument/2006/relationships/hyperlink" Target="https://www.redfin.com/MA/Quincy/195-Thomas-Burgin-Pkwy-02169/unit-301/home/8931809" TargetMode="External" Id="rId35"/><Relationship Type="http://schemas.openxmlformats.org/officeDocument/2006/relationships/hyperlink" Target="https://www.redfin.com/MA/Waltham/10-Naviens-Ln-02453/unit-1/home/76478882" TargetMode="External" Id="rId36"/><Relationship Type="http://schemas.openxmlformats.org/officeDocument/2006/relationships/hyperlink" Target="https://www.redfin.com/MA/Brighton/5-Braemore-Rd-02135/unit-10/home/9308549" TargetMode="External" Id="rId37"/><Relationship Type="http://schemas.openxmlformats.org/officeDocument/2006/relationships/hyperlink" Target="https://www.redfin.com/MA/Brighton/1641-Commonwealth-Ave-02135/unit-16/home/9002891" TargetMode="External" Id="rId38"/><Relationship Type="http://schemas.openxmlformats.org/officeDocument/2006/relationships/hyperlink" Target="https://www.redfin.com/MA/Brighton/1568-Commonwealth-Ave-02135/unit-12/home/9017105" TargetMode="External" Id="rId39"/><Relationship Type="http://schemas.openxmlformats.org/officeDocument/2006/relationships/hyperlink" Target="https://www.redfin.com/MA/Allston/10-Scottfield-Rd-02134/unit-34/home/9000321" TargetMode="External" Id="rId40"/><Relationship Type="http://schemas.openxmlformats.org/officeDocument/2006/relationships/hyperlink" Target="https://www.redfin.com/MA/Allston/57-Brighton-Ave-02134/unit-6/home/8991939" TargetMode="External" Id="rId41"/><Relationship Type="http://schemas.openxmlformats.org/officeDocument/2006/relationships/hyperlink" Target="https://www.redfin.com/MA/Medford/297-Main-St-02155/unit-3/home/11796231" TargetMode="External" Id="rId42"/><Relationship Type="http://schemas.openxmlformats.org/officeDocument/2006/relationships/hyperlink" Target="https://www.redfin.com/MA/Brighton/Undisclosed-address-02135/home/9013888" TargetMode="External" Id="rId43"/><Relationship Type="http://schemas.openxmlformats.org/officeDocument/2006/relationships/hyperlink" Target="https://www.redfin.com/MA/Watertown/32-Whites-Ave-02472/unit-D13A/home/11704983" TargetMode="External" Id="rId44"/><Relationship Type="http://schemas.openxmlformats.org/officeDocument/2006/relationships/hyperlink" Target="https://www.redfin.com/MA/Watertown/68-Aldrich-Rd-02472/unit-B/home/11682866" TargetMode="External" Id="rId45"/><Relationship Type="http://schemas.openxmlformats.org/officeDocument/2006/relationships/hyperlink" Target="https://www.redfin.com/MA/Brighton/52-Strathmore-Rd-02135/unit-44/home/9028771" TargetMode="External" Id="rId46"/><Relationship Type="http://schemas.openxmlformats.org/officeDocument/2006/relationships/hyperlink" Target="https://www.redfin.com/MA/Brighton/32-Sidlaw-Rd-02135/unit-6/home/9006968" TargetMode="External" Id="rId47"/><Relationship Type="http://schemas.openxmlformats.org/officeDocument/2006/relationships/hyperlink" Target="https://www.redfin.com/MA/Quincy/115-W-Squantum-St-02171/unit-203/home/11722276" TargetMode="External" Id="rId48"/><Relationship Type="http://schemas.openxmlformats.org/officeDocument/2006/relationships/hyperlink" Target="https://www.redfin.com/MA/Cambridge/95-Second-St-02141/unit-3/home/22200369" TargetMode="External" Id="rId49"/><Relationship Type="http://schemas.openxmlformats.org/officeDocument/2006/relationships/hyperlink" Target="https://www.redfin.com/MA/Malden/80-Main-St-02148/unit-9/home/11391543" TargetMode="External" Id="rId50"/><Relationship Type="http://schemas.openxmlformats.org/officeDocument/2006/relationships/hyperlink" Target="https://www.redfin.com/MA/Malden/80-Main-St-02148/unit-4/home/11391525" TargetMode="External" Id="rId51"/><Relationship Type="http://schemas.openxmlformats.org/officeDocument/2006/relationships/hyperlink" Target="https://www.redfin.com/MA/Allston/1269-Commonwealth-Ave-02134/unit-11/home/8995611" TargetMode="External" Id="rId52"/><Relationship Type="http://schemas.openxmlformats.org/officeDocument/2006/relationships/hyperlink" Target="https://www.redfin.com/MA/Somerville/6-Bedford-St-02143/unit-1F/home/8759477" TargetMode="External" Id="rId53"/><Relationship Type="http://schemas.openxmlformats.org/officeDocument/2006/relationships/hyperlink" Target="https://www.redfin.com/MA/Brookline/35-Westbourne-Ter-02446/unit-2/home/11454555" TargetMode="External" Id="rId54"/><Relationship Type="http://schemas.openxmlformats.org/officeDocument/2006/relationships/hyperlink" Target="https://www.redfin.com/MA/Medford/235-Winthrop-St-02155/unit-4401/home/11789304" TargetMode="External" Id="rId55"/><Relationship Type="http://schemas.openxmlformats.org/officeDocument/2006/relationships/hyperlink" Target="https://www.redfin.com/MA/Arlington/16-Arizona-Ter-02474/unit-2/home/8412340" TargetMode="External" Id="rId56"/><Relationship Type="http://schemas.openxmlformats.org/officeDocument/2006/relationships/hyperlink" Target="https://www.redfin.com/MA/Brighton/1691-Commonwealth-Ave-02135/unit-31/home/9020583" TargetMode="External" Id="rId57"/><Relationship Type="http://schemas.openxmlformats.org/officeDocument/2006/relationships/hyperlink" Target="https://www.redfin.com/MA/Somerville/17-Buckingham-St-02143/unit-3/home/200344678" TargetMode="External" Id="rId58"/><Relationship Type="http://schemas.openxmlformats.org/officeDocument/2006/relationships/hyperlink" Target="https://www.redfin.com/MA/Allston/18-Glenville-Ave-02134/unit-3A/home/8995847" TargetMode="External" Id="rId59"/><Relationship Type="http://schemas.openxmlformats.org/officeDocument/2006/relationships/hyperlink" Target="https://www.redfin.com/MA/Brighton/1496-Commonwealth-Ave-02135/unit-9E/home/201193887" TargetMode="External" Id="rId60"/><Relationship Type="http://schemas.openxmlformats.org/officeDocument/2006/relationships/hyperlink" Target="https://www.redfin.com/MA/Allston/533-Cambridge-St-02134/unit-308/home/12469714" TargetMode="External" Id="rId61"/><Relationship Type="http://schemas.openxmlformats.org/officeDocument/2006/relationships/hyperlink" Target="https://www.redfin.com/MA/Somerville/9-Clyde-St-02145/unit-9/home/187141476" TargetMode="External" Id="rId62"/><Relationship Type="http://schemas.openxmlformats.org/officeDocument/2006/relationships/hyperlink" Target="https://www.redfin.com/MA/Brighton/140-Kenrick-St-02135/unit-8/home/9043024" TargetMode="External" Id="rId63"/><Relationship Type="http://schemas.openxmlformats.org/officeDocument/2006/relationships/hyperlink" Target="https://www.redfin.com/MA/Quincy/25-W-Howard-St-02169/unit-G3/home/9031079" TargetMode="External" Id="rId64"/><Relationship Type="http://schemas.openxmlformats.org/officeDocument/2006/relationships/hyperlink" Target="https://www.redfin.com/MA/Quincy/154-Glendale-Rd-02169/unit-2/home/77500153" TargetMode="External" Id="rId65"/><Relationship Type="http://schemas.openxmlformats.org/officeDocument/2006/relationships/hyperlink" Target="https://www.redfin.com/MA/Quincy/851-Quincy-Shore-Dr-02170/home/8982621" TargetMode="External" Id="rId66"/><Relationship Type="http://schemas.openxmlformats.org/officeDocument/2006/relationships/hyperlink" Target="https://www.redfin.com/MA/Quincy/33-Bishop-Rd-02170/unit-33/home/201392327" TargetMode="External" Id="rId67"/><Relationship Type="http://schemas.openxmlformats.org/officeDocument/2006/relationships/hyperlink" Target="https://www.redfin.com/MA/Waltham/16-Winter-St-02451/unit-23C/home/11804460" TargetMode="External" Id="rId68"/><Relationship Type="http://schemas.openxmlformats.org/officeDocument/2006/relationships/hyperlink" Target="https://www.redfin.com/MA/Chestnut-Hill/66-Bryon-Rd-02467/unit-5/home/9204212" TargetMode="External" Id="rId69"/><Relationship Type="http://schemas.openxmlformats.org/officeDocument/2006/relationships/hyperlink" Target="https://www.redfin.com/MA/Somerville/432-Norfolk-St-02143/unit-2F/home/8758811" TargetMode="External" Id="rId70"/><Relationship Type="http://schemas.openxmlformats.org/officeDocument/2006/relationships/hyperlink" Target="https://www.redfin.com/MA/Somerville/24-Rush-St-02145/unit-C/home/174130379" TargetMode="External" Id="rId71"/><Relationship Type="http://schemas.openxmlformats.org/officeDocument/2006/relationships/hyperlink" Target="https://www.redfin.com/MA/Malden/30-Franklin-St-02148/unit-327/home/11430090" TargetMode="External" Id="rId72"/><Relationship Type="http://schemas.openxmlformats.org/officeDocument/2006/relationships/hyperlink" Target="https://www.redfin.com/MA/Quincy/Quincy/1-Bedroom/home/197950895" TargetMode="External" Id="rId73"/><Relationship Type="http://schemas.openxmlformats.org/officeDocument/2006/relationships/hyperlink" Target="https://www.redfin.com/MA/Quincy/156-West-St-02169/home/8965188" TargetMode="External" Id="rId74"/><Relationship Type="http://schemas.openxmlformats.org/officeDocument/2006/relationships/hyperlink" Target="https://www.redfin.com/MA/Quincy/134-Sherman-St-02170/home/8992856" TargetMode="External" Id="rId75"/><Relationship Type="http://schemas.openxmlformats.org/officeDocument/2006/relationships/hyperlink" Target="https://www.redfin.com/MA/Brighton/114-Strathmore-Rd-02135/unit-404/home/9026666" TargetMode="External" Id="rId76"/><Relationship Type="http://schemas.openxmlformats.org/officeDocument/2006/relationships/hyperlink" Target="https://www.redfin.com/MA/Quincy/100-W-Squantum-St-02171/unit-516/home/9018413" TargetMode="External" Id="rId77"/><Relationship Type="http://schemas.openxmlformats.org/officeDocument/2006/relationships/hyperlink" Target="https://www.redfin.com/MA/Boston/8-Ransom-Rd-02135/unit-8/home/113226315" TargetMode="External" Id="rId78"/><Relationship Type="http://schemas.openxmlformats.org/officeDocument/2006/relationships/hyperlink" Target="https://www.redfin.com/MA/Somerville/60-Cross-St-E-02145/unit-103/home/179892656" TargetMode="External" Id="rId79"/><Relationship Type="http://schemas.openxmlformats.org/officeDocument/2006/relationships/hyperlink" Target="https://www.redfin.com/MA/Cambridge/185-Hamilton-St-02139/unit-3/home/138460947" TargetMode="External" Id="rId80"/><Relationship Type="http://schemas.openxmlformats.org/officeDocument/2006/relationships/hyperlink" Target="https://www.redfin.com/MA/Cambridge/287-Harvard-St-02139/unit-71/home/11562425" TargetMode="External" Id="rId81"/><Relationship Type="http://schemas.openxmlformats.org/officeDocument/2006/relationships/hyperlink" Target="https://www.redfin.com/MA/Cambridge/169-Monsignor-Obrien-Hwy-02141/unit-213/home/11601127" TargetMode="External" Id="rId82"/><Relationship Type="http://schemas.openxmlformats.org/officeDocument/2006/relationships/hyperlink" Target="https://www.redfin.com/MA/Brookline/109-Winchester-St-02446/unit-6/home/11451033" TargetMode="External" Id="rId83"/><Relationship Type="http://schemas.openxmlformats.org/officeDocument/2006/relationships/hyperlink" Target="https://www.redfin.com/MA/Brookline/97-Sewall-Ave-02446/unit-5/home/11459351" TargetMode="External" Id="rId84"/><Relationship Type="http://schemas.openxmlformats.org/officeDocument/2006/relationships/hyperlink" Target="https://www.redfin.com/MA/Boston/125-Park-Dr-02215/unit-41/home/9241281" TargetMode="External" Id="rId85"/><Relationship Type="http://schemas.openxmlformats.org/officeDocument/2006/relationships/hyperlink" Target="https://www.redfin.com/MA/Boston/4-Franklin-St-02134/unit-202/home/190592119" TargetMode="External" Id="rId86"/><Relationship Type="http://schemas.openxmlformats.org/officeDocument/2006/relationships/hyperlink" Target="https://www.redfin.com/MA/Boston/111-Jersey-St-02215/unit-15/home/9317643" TargetMode="External" Id="rId87"/><Relationship Type="http://schemas.openxmlformats.org/officeDocument/2006/relationships/hyperlink" Target="https://www.redfin.com/MA/Newton/549-Centre-St-02458/unit-2/home/11411108" TargetMode="External" Id="rId88"/><Relationship Type="http://schemas.openxmlformats.org/officeDocument/2006/relationships/hyperlink" Target="https://www.redfin.com/MA/Cambridge/241-Hurley-St-02141/unit-1/home/11603214" TargetMode="External" Id="rId89"/><Relationship Type="http://schemas.openxmlformats.org/officeDocument/2006/relationships/hyperlink" Target="https://www.redfin.com/MA/Quincy/86-E-Howard-St-02169/unit-107/home/9036654" TargetMode="External" Id="rId90"/><Relationship Type="http://schemas.openxmlformats.org/officeDocument/2006/relationships/hyperlink" Target="https://www.redfin.com/MA/Brookline/75-Park-St-02446/unit-8/home/11467606" TargetMode="External" Id="rId91"/><Relationship Type="http://schemas.openxmlformats.org/officeDocument/2006/relationships/hyperlink" Target="https://www.redfin.com/MA/Boston/131-Park-Dr-02215/unit-2/home/9241298" TargetMode="External" Id="rId92"/><Relationship Type="http://schemas.openxmlformats.org/officeDocument/2006/relationships/hyperlink" Target="https://www.redfin.com/MA/Quincy/148-Presidents-Ln-02169/unit-1/home/11718802" TargetMode="External" Id="rId93"/><Relationship Type="http://schemas.openxmlformats.org/officeDocument/2006/relationships/hyperlink" Target="https://www.redfin.com/MA/Quincy/200-Falls-Blvd-02169/unit-B208/home/8950044" TargetMode="External" Id="rId94"/><Relationship Type="http://schemas.openxmlformats.org/officeDocument/2006/relationships/hyperlink" Target="https://www.redfin.com/MA/Waltham/10-Washington-Ave-02453/unit-1/home/77521940" TargetMode="External" Id="rId95"/><Relationship Type="http://schemas.openxmlformats.org/officeDocument/2006/relationships/hyperlink" Target="https://www.redfin.com/MA/Malden/557-Salem-St-02148/unit-4/home/11428538" TargetMode="External" Id="rId96"/><Relationship Type="http://schemas.openxmlformats.org/officeDocument/2006/relationships/hyperlink" Target="https://www.redfin.com/MA/Quincy/20-Whitney-Rd-02169/unit-U-1/home/200248173" TargetMode="External" Id="rId97"/><Relationship Type="http://schemas.openxmlformats.org/officeDocument/2006/relationships/hyperlink" Target="https://www.redfin.com/MA/Quincy/20-Whitney-Rd-02169/unit-101/home/196906729" TargetMode="External" Id="rId98"/><Relationship Type="http://schemas.openxmlformats.org/officeDocument/2006/relationships/hyperlink" Target="https://www.redfin.com/MA/Watertown/56-Ralph-St-02472/unit-3/home/57314411" TargetMode="External" Id="rId99"/><Relationship Type="http://schemas.openxmlformats.org/officeDocument/2006/relationships/hyperlink" Target="https://www.redfin.com/MA/Brighton/1945-Commonwealth-Ave-02135/unit-4/home/9242382" TargetMode="External" Id="rId100"/><Relationship Type="http://schemas.openxmlformats.org/officeDocument/2006/relationships/hyperlink" Target="https://www.redfin.com/MA/Brighton/26-Chiswick-Rd-02135/unit-6/home/9026723" TargetMode="External" Id="rId101"/><Relationship Type="http://schemas.openxmlformats.org/officeDocument/2006/relationships/hyperlink" Target="https://www.redfin.com/MA/West-Newton/76-Taft-Ave-02465/unit-1/home/11433253" TargetMode="External" Id="rId102"/><Relationship Type="http://schemas.openxmlformats.org/officeDocument/2006/relationships/hyperlink" Target="https://www.redfin.com/MA/Brighton/28-Sidlaw-Rd-02135/unit-2/home/9007059" TargetMode="External" Id="rId103"/><Relationship Type="http://schemas.openxmlformats.org/officeDocument/2006/relationships/hyperlink" Target="https://www.redfin.com/MA/Brighton/70-Strathmore-Rd-02135/unit-10A/home/9028575" TargetMode="External" Id="rId104"/><Relationship Type="http://schemas.openxmlformats.org/officeDocument/2006/relationships/hyperlink" Target="https://www.redfin.com/MA/Brighton/370-Chestnut-Hill-Ave-02135/unit-3/home/39912751" TargetMode="External" Id="rId105"/><Relationship Type="http://schemas.openxmlformats.org/officeDocument/2006/relationships/hyperlink" Target="https://www.redfin.com/MA/Brighton/26-Waverly-St-02135/unit-202/home/9010573" TargetMode="External" Id="rId106"/><Relationship Type="http://schemas.openxmlformats.org/officeDocument/2006/relationships/hyperlink" Target="https://www.redfin.com/MA/Quincy/200-Cove-Way-02169/unit-113/home/11719132" TargetMode="External" Id="rId107"/><Relationship Type="http://schemas.openxmlformats.org/officeDocument/2006/relationships/hyperlink" Target="https://www.redfin.com/MA/Cambridge/21-Chauncy-St-02138/unit-B/home/201742050" TargetMode="External" Id="rId108"/><Relationship Type="http://schemas.openxmlformats.org/officeDocument/2006/relationships/hyperlink" Target="https://www.redfin.com/MA/Cambridge/5-Centre-St-02139/unit-11/home/11600440" TargetMode="External" Id="rId109"/><Relationship Type="http://schemas.openxmlformats.org/officeDocument/2006/relationships/hyperlink" Target="https://www.redfin.com/MA/Boston/465-Park-Dr-02215/unit-2/home/9246390" TargetMode="External" Id="rId110"/><Relationship Type="http://schemas.openxmlformats.org/officeDocument/2006/relationships/hyperlink" Target="https://www.redfin.com/MA/Boston/191-Washington-St-02135/unit-317/home/176134081" TargetMode="External" Id="rId111"/><Relationship Type="http://schemas.openxmlformats.org/officeDocument/2006/relationships/hyperlink" Target="https://www.redfin.com/MA/Boston/51-Park-Dr-02215/unit-25/home/9273877" TargetMode="External" Id="rId112"/><Relationship Type="http://schemas.openxmlformats.org/officeDocument/2006/relationships/hyperlink" Target="https://www.redfin.com/MA/Brighton/189-Chestnut-Hill-Ave-02135/unit-14/home/9036897" TargetMode="External" Id="rId113"/><Relationship Type="http://schemas.openxmlformats.org/officeDocument/2006/relationships/hyperlink" Target="https://www.redfin.com/MA/Brighton/48-Strathmore-Rd-02135/unit-26/home/9028847" TargetMode="External" Id="rId114"/><Relationship Type="http://schemas.openxmlformats.org/officeDocument/2006/relationships/hyperlink" Target="https://www.redfin.com/MA/Brighton/1870-Commonwealth-Ave-02135/unit-1/home/9027994" TargetMode="External" Id="rId115"/><Relationship Type="http://schemas.openxmlformats.org/officeDocument/2006/relationships/hyperlink" Target="https://www.redfin.com/MA/Somerville/33-Newbury-St-02144/unit-1/home/12389795" TargetMode="External" Id="rId116"/><Relationship Type="http://schemas.openxmlformats.org/officeDocument/2006/relationships/hyperlink" Target="https://www.redfin.com/MA/Quincy/21-Totman-St-02169/unit-302/home/201666904" TargetMode="External" Id="rId117"/><Relationship Type="http://schemas.openxmlformats.org/officeDocument/2006/relationships/hyperlink" Target="https://www.redfin.com/MA/Waltham/181-Robbins-St-02453/unit-4/home/184414572" TargetMode="External" Id="rId118"/><Relationship Type="http://schemas.openxmlformats.org/officeDocument/2006/relationships/hyperlink" Target="https://www.redfin.com/MA/Auburndale/49-Grove-St-02466/unit-2/home/11495701" TargetMode="External" Id="rId119"/><Relationship Type="http://schemas.openxmlformats.org/officeDocument/2006/relationships/hyperlink" Target="https://www.redfin.com/MA/Watertown/99-Pleasant-St-02472/unit-A4/home/11683908" TargetMode="External" Id="rId120"/><Relationship Type="http://schemas.openxmlformats.org/officeDocument/2006/relationships/hyperlink" Target="https://www.redfin.com/MA/Cambridge/71-Oxford-Ave-02138/unit-A/home/11604279" TargetMode="External" Id="rId121"/><Relationship Type="http://schemas.openxmlformats.org/officeDocument/2006/relationships/hyperlink" Target="https://www.redfin.com/MA/Brighton/2001-Commonwealth-Ave-02135/unit-34/home/9037723" TargetMode="External" Id="rId122"/><Relationship Type="http://schemas.openxmlformats.org/officeDocument/2006/relationships/hyperlink" Target="https://www.redfin.com/MA/Brighton/25-South-St-02135/unit-4/home/9037254" TargetMode="External" Id="rId123"/><Relationship Type="http://schemas.openxmlformats.org/officeDocument/2006/relationships/hyperlink" Target="https://www.redfin.com/MA/Brighton/2001-Commonwealth-Ave-02135/unit-4/home/9037601" TargetMode="External" Id="rId124"/><Relationship Type="http://schemas.openxmlformats.org/officeDocument/2006/relationships/hyperlink" Target="https://www.redfin.com/MA/Quincy/585-Washington-St-02169/unit-202/home/200582027" TargetMode="External" Id="rId125"/><Relationship Type="http://schemas.openxmlformats.org/officeDocument/2006/relationships/hyperlink" Target="https://www.redfin.com/MA/Brighton/15-Colliston-Rd-02135/unit-6/home/9004520" TargetMode="External" Id="rId126"/><Relationship Type="http://schemas.openxmlformats.org/officeDocument/2006/relationships/hyperlink" Target="https://www.redfin.com/MA/Watertown/32-Whites-Ave-02472/unit-D65/home/11705029" TargetMode="External" Id="rId127"/><Relationship Type="http://schemas.openxmlformats.org/officeDocument/2006/relationships/hyperlink" Target="https://www.redfin.com/MA/Cambridge/2353-Massachusetts-Ave-02140/unit-93/home/11579819" TargetMode="External" Id="rId128"/><Relationship Type="http://schemas.openxmlformats.org/officeDocument/2006/relationships/hyperlink" Target="https://www.redfin.com/MA/Boston/70-Leo-M-Birmingham-Pkwy-02135/unit-416/home/178944372" TargetMode="External" Id="rId129"/><Relationship Type="http://schemas.openxmlformats.org/officeDocument/2006/relationships/hyperlink" Target="https://www.redfin.com/MA/Brookline/22-Chestnut-Pl-02445/unit-210/home/11492260" TargetMode="External" Id="rId130"/><Relationship Type="http://schemas.openxmlformats.org/officeDocument/2006/relationships/hyperlink" Target="https://www.redfin.com/MA/Watertown/4-Repton-Cir-02472/unit-4105/home/18977070" TargetMode="External" Id="rId131"/><Relationship Type="http://schemas.openxmlformats.org/officeDocument/2006/relationships/hyperlink" Target="https://www.redfin.com/MA/Cambridge/6-Garden-Ct-02138/unit-5/home/11600335" TargetMode="External" Id="rId132"/><Relationship Type="http://schemas.openxmlformats.org/officeDocument/2006/relationships/hyperlink" Target="https://www.redfin.com/MA/Medford/314-Riverside-Ave-02155/unit-408/home/11794508" TargetMode="External" Id="rId133"/><Relationship Type="http://schemas.openxmlformats.org/officeDocument/2006/relationships/hyperlink" Target="https://www.redfin.com/MA/Medford/314-Riverside-Ave-02155/unit-305/home/11794499" TargetMode="External" Id="rId134"/><Relationship Type="http://schemas.openxmlformats.org/officeDocument/2006/relationships/hyperlink" Target="https://www.redfin.com/MA/Watertown/258-Lexington-St-02472/unit-258/home/170318887" TargetMode="External" Id="rId135"/><Relationship Type="http://schemas.openxmlformats.org/officeDocument/2006/relationships/hyperlink" Target="https://www.redfin.com/MA/Watertown/23-Pierce-Rd-02472/unit-23/home/113244363" TargetMode="External" Id="rId136"/><Relationship Type="http://schemas.openxmlformats.org/officeDocument/2006/relationships/hyperlink" Target="https://www.redfin.com/MA/Watertown/38-Grant-Ave-02472/unit-38/home/113231035" TargetMode="External" Id="rId137"/><Relationship Type="http://schemas.openxmlformats.org/officeDocument/2006/relationships/hyperlink" Target="https://www.redfin.com/MA/Brighton/189-Chestnut-Hill-Ave-02135/unit-11/home/9036886" TargetMode="External" Id="rId138"/><Relationship Type="http://schemas.openxmlformats.org/officeDocument/2006/relationships/hyperlink" Target="https://www.redfin.com/MA/Cambridge/2353-Massachusetts-Ave-02140/unit-44/home/11579692" TargetMode="External" Id="rId139"/><Relationship Type="http://schemas.openxmlformats.org/officeDocument/2006/relationships/hyperlink" Target="https://www.redfin.com/MA/Quincy/21-Totman-St-02169/unit-403/home/200992802" TargetMode="External" Id="rId140"/><Relationship Type="http://schemas.openxmlformats.org/officeDocument/2006/relationships/hyperlink" Target="https://www.redfin.com/MA/Belmont/100-Lexington-St-02478/unit-B8/home/8442366" TargetMode="External" Id="rId141"/><Relationship Type="http://schemas.openxmlformats.org/officeDocument/2006/relationships/hyperlink" Target="https://www.redfin.com/MA/Cambridge/29-Concord-Ave-02138/unit-501/home/11586445" TargetMode="External" Id="rId142"/><Relationship Type="http://schemas.openxmlformats.org/officeDocument/2006/relationships/hyperlink" Target="https://www.redfin.com/MA/Cambridge/269-Harvard-St-02139/unit-19/home/11562614" TargetMode="External" Id="rId143"/><Relationship Type="http://schemas.openxmlformats.org/officeDocument/2006/relationships/hyperlink" Target="https://www.redfin.com/MA/Boston/66-Queensberry-St-02215/unit-221/home/9241434" TargetMode="External" Id="rId144"/><Relationship Type="http://schemas.openxmlformats.org/officeDocument/2006/relationships/hyperlink" Target="https://www.redfin.com/MA/Arlington/993-Massachusetts-Ave-02476/unit-203/home/11774605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5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19" customWidth="1" min="10" max="10"/>
    <col width="12" customWidth="1" min="11" max="11"/>
    <col width="19" customWidth="1" min="12" max="12"/>
    <col width="15" customWidth="1" min="13" max="13"/>
    <col width="50" customWidth="1" min="14" max="14"/>
    <col width="27" customWidth="1" min="15" max="15"/>
    <col width="19" customWidth="1" min="16" max="16"/>
    <col width="34" customWidth="1" min="17" max="17"/>
    <col width="29" customWidth="1" min="18" max="18"/>
    <col width="21" customWidth="1" min="19" max="19"/>
    <col width="39" customWidth="1" min="20" max="20"/>
    <col width="23" customWidth="1" min="21" max="21"/>
    <col width="26" customWidth="1" min="22" max="22"/>
    <col width="25" customWidth="1" min="23" max="23"/>
    <col width="50" customWidth="1" min="24" max="24"/>
    <col width="50" customWidth="1" min="25" max="25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Down Payment $</t>
        </is>
      </c>
      <c r="M1" s="1" t="inlineStr">
        <is>
          <t>Loan Amount</t>
        </is>
      </c>
      <c r="N1" s="1" t="inlineStr">
        <is>
          <t>Monthly Mortgage</t>
        </is>
      </c>
      <c r="O1" s="1" t="inlineStr">
        <is>
          <t>Property Tax/mo</t>
        </is>
      </c>
      <c r="P1" s="1" t="inlineStr">
        <is>
          <t>Insurance/mo</t>
        </is>
      </c>
      <c r="Q1" s="1" t="inlineStr">
        <is>
          <t>Utilities+Internet</t>
        </is>
      </c>
      <c r="R1" s="1" t="inlineStr">
        <is>
          <t>Total Monthly Cost</t>
        </is>
      </c>
      <c r="S1" s="1" t="inlineStr">
        <is>
          <t>Rent per Roommate</t>
        </is>
      </c>
      <c r="T1" s="1" t="inlineStr">
        <is>
          <t>Net Monthly Cost</t>
        </is>
      </c>
      <c r="U1" s="1" t="inlineStr">
        <is>
          <t>Drive to MBTA (min)</t>
        </is>
      </c>
      <c r="V1" s="1" t="inlineStr">
        <is>
          <t>Drive to Seaport (min)</t>
        </is>
      </c>
      <c r="W1" s="1" t="inlineStr">
        <is>
          <t>Drive to Google (min)</t>
        </is>
      </c>
      <c r="X1" s="1" t="inlineStr">
        <is>
          <t>Rating Score</t>
        </is>
      </c>
      <c r="Y1" s="1" t="inlineStr">
        <is>
          <t>Rating</t>
        </is>
      </c>
    </row>
    <row r="2">
      <c r="A2" s="5" t="inlineStr">
        <is>
          <t>55 Magazine Unit 12A, Cambridge, MA 02139</t>
        </is>
      </c>
      <c r="B2" t="inlineStr">
        <is>
          <t>Cambridge</t>
        </is>
      </c>
      <c r="C2" s="6" t="inlineStr">
        <is>
          <t>https://www.redfin.com/MA/Cambridge/55-Magazine-St-02139/unit-12A/home/28439977</t>
        </is>
      </c>
      <c r="D2" s="7" t="inlineStr">
        <is>
          <t>2026-05-12</t>
        </is>
      </c>
      <c r="E2" s="3" t="n">
        <v>4500</v>
      </c>
      <c r="F2" s="3" t="n">
        <v>472</v>
      </c>
      <c r="G2" t="n">
        <v>2</v>
      </c>
      <c r="H2" t="n">
        <v>2</v>
      </c>
      <c r="I2" s="4" t="n">
        <v>1160</v>
      </c>
      <c r="J2" t="inlineStr">
        <is>
          <t>No</t>
        </is>
      </c>
      <c r="K2" t="inlineStr">
        <is>
          <t>0 spaces</t>
        </is>
      </c>
      <c r="L2" s="3">
        <f>Assumptions!B3</f>
        <v/>
      </c>
      <c r="M2" s="3">
        <f>E2-L2</f>
        <v/>
      </c>
      <c r="N2" s="3">
        <f>-PMT(Assumptions!B2/12,Assumptions!B4*12,M2)</f>
        <v/>
      </c>
      <c r="O2" s="3">
        <f>E2*Assumptions!B5/12</f>
        <v/>
      </c>
      <c r="P2" s="3">
        <f>Assumptions!B6</f>
        <v/>
      </c>
      <c r="Q2" s="3">
        <f>Assumptions!B7+Assumptions!B8</f>
        <v/>
      </c>
      <c r="R2" s="3">
        <f>N2+F2+O2+P2+Q2</f>
        <v/>
      </c>
      <c r="S2" s="3" t="n">
        <v>1625</v>
      </c>
      <c r="T2" s="3">
        <f>R2-S2*MAX(IFERROR(G2-1,0),0)</f>
        <v/>
      </c>
      <c r="U2" t="n">
        <v>2.1</v>
      </c>
      <c r="V2" t="n">
        <v>12.4</v>
      </c>
      <c r="W2" t="n">
        <v>6.4</v>
      </c>
      <c r="X2" s="8">
        <f>(IF(E2="",2,IF(E2&lt;=400000,3,IF(E2&gt;=500000,1,2))))*0.1+(IF(OR(G2="",G2=0),2,IF((E2/G2)&lt;=200000,3,IF((E2/G2)&gt;=300000,1,2))))*0.1+(IF(F2="",2,IF(F2&lt;=200,3,IF(F2&gt;=400,1,2))))*0.1+(IF(T2="",2,IF(T2&lt;=2000,3,IF(T2&gt;=3000,1,2))))*0.2+(IF(V2="",2,IF(V2&lt;=15,3,IF(V2&gt;=30,1,2))))*0.15+(IF(W2="",2,IF(W2&lt;=15,3,IF(W2&gt;=25,1,2))))*0.1+(IF(U2="",2,IF(U2&lt;=5,3,IF(U2&gt;=15,1,2))))*0.1+(IF(J2="Yes",3,IF(J2="No",1,2)))*0.05+(IF(OR(K2="",UPPER(TRIM(K2))="UNKNOWN"),2,IF(OR(UPPER(TRIM(K2))="NONE",ISNUMBER(SEARCH("no parking",K2))),1,3)))*0.05+(IF(AND(ISNUMBER(I2),I2&gt;=900),3,IF(AND(ISNUMBER(G2),G2&gt;=2),3,IF(AND(ISNUMBER(I2),I2&gt;=700),2,IF(AND(ISNUMBER(I2),I2&lt;700),1,2)))))*0.05</f>
        <v/>
      </c>
      <c r="Y2">
        <f>IF(X2&gt;=2.3,"Green",IF(X2&gt;=1.7,"Yellow","Red"))</f>
        <v/>
      </c>
    </row>
    <row r="3">
      <c r="A3" s="5" t="inlineStr">
        <is>
          <t>40 Highland Ave #8, Somerville, MA 02143</t>
        </is>
      </c>
      <c r="B3" t="inlineStr">
        <is>
          <t>Somerville</t>
        </is>
      </c>
      <c r="C3" s="6" t="inlineStr">
        <is>
          <t>https://www.redfin.com/MA/Somerville/40-Highland-Ave-02143/unit-8/home/8760102</t>
        </is>
      </c>
      <c r="D3" s="7" t="inlineStr">
        <is>
          <t>2026-04-22</t>
        </is>
      </c>
      <c r="E3" s="3" t="n">
        <v>574900</v>
      </c>
      <c r="F3" s="3" t="n">
        <v>262</v>
      </c>
      <c r="G3" t="n">
        <v>3</v>
      </c>
      <c r="H3" t="n">
        <v>1</v>
      </c>
      <c r="I3" s="4" t="n">
        <v>1370</v>
      </c>
      <c r="J3" t="inlineStr">
        <is>
          <t>No</t>
        </is>
      </c>
      <c r="K3" t="inlineStr">
        <is>
          <t>0 spaces</t>
        </is>
      </c>
      <c r="L3" s="3">
        <f>Assumptions!B3</f>
        <v/>
      </c>
      <c r="M3" s="3">
        <f>E3-L3</f>
        <v/>
      </c>
      <c r="N3" s="3">
        <f>-PMT(Assumptions!B2/12,Assumptions!B4*12,M3)</f>
        <v/>
      </c>
      <c r="O3" s="3">
        <f>E3*Assumptions!B5/12</f>
        <v/>
      </c>
      <c r="P3" s="3">
        <f>Assumptions!B6</f>
        <v/>
      </c>
      <c r="Q3" s="3">
        <f>Assumptions!B7+Assumptions!B8</f>
        <v/>
      </c>
      <c r="R3" s="3">
        <f>N3+F3+O3+P3+Q3</f>
        <v/>
      </c>
      <c r="S3" s="3" t="n">
        <v>1495</v>
      </c>
      <c r="T3" s="3">
        <f>R3-S3*MAX(IFERROR(G3-1,0),0)</f>
        <v/>
      </c>
      <c r="U3" t="n">
        <v>1.1</v>
      </c>
      <c r="V3" t="n">
        <v>9.6</v>
      </c>
      <c r="W3" t="n">
        <v>5.3</v>
      </c>
      <c r="X3" s="8">
        <f>(IF(E3="",2,IF(E3&lt;=400000,3,IF(E3&gt;=500000,1,2))))*0.1+(IF(OR(G3="",G3=0),2,IF((E3/G3)&lt;=200000,3,IF((E3/G3)&gt;=300000,1,2))))*0.1+(IF(F3="",2,IF(F3&lt;=200,3,IF(F3&gt;=400,1,2))))*0.1+(IF(T3="",2,IF(T3&lt;=2000,3,IF(T3&gt;=3000,1,2))))*0.2+(IF(V3="",2,IF(V3&lt;=15,3,IF(V3&gt;=30,1,2))))*0.15+(IF(W3="",2,IF(W3&lt;=15,3,IF(W3&gt;=25,1,2))))*0.1+(IF(U3="",2,IF(U3&lt;=5,3,IF(U3&gt;=15,1,2))))*0.1+(IF(J3="Yes",3,IF(J3="No",1,2)))*0.05+(IF(OR(K3="",UPPER(TRIM(K3))="UNKNOWN"),2,IF(OR(UPPER(TRIM(K3))="NONE",ISNUMBER(SEARCH("no parking",K3))),1,3)))*0.05+(IF(AND(ISNUMBER(I3),I3&gt;=900),3,IF(AND(ISNUMBER(G3),G3&gt;=2),3,IF(AND(ISNUMBER(I3),I3&gt;=700),2,IF(AND(ISNUMBER(I3),I3&lt;700),1,2)))))*0.05</f>
        <v/>
      </c>
      <c r="Y3">
        <f>IF(X3&gt;=2.3,"Green",IF(X3&gt;=1.7,"Yellow","Red"))</f>
        <v/>
      </c>
    </row>
    <row r="4">
      <c r="A4" s="5" t="inlineStr">
        <is>
          <t>49 Heath St #2, Somerville, MA 02145</t>
        </is>
      </c>
      <c r="B4" t="inlineStr">
        <is>
          <t>Somerville</t>
        </is>
      </c>
      <c r="C4" s="6" t="inlineStr">
        <is>
          <t>https://www.redfin.com/MA/Somerville/49-Heath-St-02145/unit-2/home/104237946</t>
        </is>
      </c>
      <c r="D4" s="7" t="inlineStr">
        <is>
          <t>2026-05-06</t>
        </is>
      </c>
      <c r="E4" s="3" t="n">
        <v>599000</v>
      </c>
      <c r="F4" s="3" t="n">
        <v>201</v>
      </c>
      <c r="G4" t="n">
        <v>3</v>
      </c>
      <c r="H4" t="n">
        <v>1</v>
      </c>
      <c r="I4" s="4" t="n">
        <v>1104</v>
      </c>
      <c r="J4" t="inlineStr">
        <is>
          <t>No</t>
        </is>
      </c>
      <c r="K4" t="inlineStr">
        <is>
          <t>1 space</t>
        </is>
      </c>
      <c r="L4" s="3">
        <f>Assumptions!B3</f>
        <v/>
      </c>
      <c r="M4" s="3">
        <f>E4-L4</f>
        <v/>
      </c>
      <c r="N4" s="3">
        <f>-PMT(Assumptions!B2/12,Assumptions!B4*12,M4)</f>
        <v/>
      </c>
      <c r="O4" s="3">
        <f>E4*Assumptions!B5/12</f>
        <v/>
      </c>
      <c r="P4" s="3">
        <f>Assumptions!B6</f>
        <v/>
      </c>
      <c r="Q4" s="3">
        <f>Assumptions!B7+Assumptions!B8</f>
        <v/>
      </c>
      <c r="R4" s="3">
        <f>N4+F4+O4+P4+Q4</f>
        <v/>
      </c>
      <c r="S4" s="3" t="n">
        <v>1495</v>
      </c>
      <c r="T4" s="3">
        <f>R4-S4*MAX(IFERROR(G4-1,0),0)</f>
        <v/>
      </c>
      <c r="U4" t="n">
        <v>2.4</v>
      </c>
      <c r="V4" t="n">
        <v>9.300000000000001</v>
      </c>
      <c r="W4" t="n">
        <v>7.4</v>
      </c>
      <c r="X4" s="8">
        <f>(IF(E4="",2,IF(E4&lt;=400000,3,IF(E4&gt;=500000,1,2))))*0.1+(IF(OR(G4="",G4=0),2,IF((E4/G4)&lt;=200000,3,IF((E4/G4)&gt;=300000,1,2))))*0.1+(IF(F4="",2,IF(F4&lt;=200,3,IF(F4&gt;=400,1,2))))*0.1+(IF(T4="",2,IF(T4&lt;=2000,3,IF(T4&gt;=3000,1,2))))*0.2+(IF(V4="",2,IF(V4&lt;=15,3,IF(V4&gt;=30,1,2))))*0.15+(IF(W4="",2,IF(W4&lt;=15,3,IF(W4&gt;=25,1,2))))*0.1+(IF(U4="",2,IF(U4&lt;=5,3,IF(U4&gt;=15,1,2))))*0.1+(IF(J4="Yes",3,IF(J4="No",1,2)))*0.05+(IF(OR(K4="",UPPER(TRIM(K4))="UNKNOWN"),2,IF(OR(UPPER(TRIM(K4))="NONE",ISNUMBER(SEARCH("no parking",K4))),1,3)))*0.05+(IF(AND(ISNUMBER(I4),I4&gt;=900),3,IF(AND(ISNUMBER(G4),G4&gt;=2),3,IF(AND(ISNUMBER(I4),I4&gt;=700),2,IF(AND(ISNUMBER(I4),I4&lt;700),1,2)))))*0.05</f>
        <v/>
      </c>
      <c r="Y4">
        <f>IF(X4&gt;=2.3,"Green",IF(X4&gt;=1.7,"Yellow","Red"))</f>
        <v/>
      </c>
    </row>
    <row r="5">
      <c r="A5" s="5" t="inlineStr">
        <is>
          <t>781 Southern Artery, Quincy, MA 02169</t>
        </is>
      </c>
      <c r="B5" t="inlineStr">
        <is>
          <t>Quincy</t>
        </is>
      </c>
      <c r="C5" s="6" t="inlineStr">
        <is>
          <t>https://www.redfin.com/MA/Quincy/781-Southern-Artery-02169/home/12458848</t>
        </is>
      </c>
      <c r="D5" s="7" t="inlineStr">
        <is>
          <t>2026-05-11</t>
        </is>
      </c>
      <c r="E5" s="3" t="n">
        <v>469000</v>
      </c>
      <c r="F5" s="3" t="n">
        <v>0</v>
      </c>
      <c r="G5" t="n">
        <v>3</v>
      </c>
      <c r="H5" t="n">
        <v>1</v>
      </c>
      <c r="I5" s="4" t="n">
        <v>1195</v>
      </c>
      <c r="J5" t="inlineStr">
        <is>
          <t>No</t>
        </is>
      </c>
      <c r="K5" t="inlineStr">
        <is>
          <t>7 spaces</t>
        </is>
      </c>
      <c r="L5" s="3">
        <f>Assumptions!B3</f>
        <v/>
      </c>
      <c r="M5" s="3">
        <f>E5-L5</f>
        <v/>
      </c>
      <c r="N5" s="3">
        <f>-PMT(Assumptions!B2/12,Assumptions!B4*12,M5)</f>
        <v/>
      </c>
      <c r="O5" s="3">
        <f>E5*Assumptions!B5/12</f>
        <v/>
      </c>
      <c r="P5" s="3">
        <f>Assumptions!B6</f>
        <v/>
      </c>
      <c r="Q5" s="3">
        <f>Assumptions!B7+Assumptions!B8</f>
        <v/>
      </c>
      <c r="R5" s="3">
        <f>N5+F5+O5+P5+Q5</f>
        <v/>
      </c>
      <c r="S5" s="3" t="n">
        <v>1170</v>
      </c>
      <c r="T5" s="3">
        <f>R5-S5*MAX(IFERROR(G5-1,0),0)</f>
        <v/>
      </c>
      <c r="U5" t="n">
        <v>3.5</v>
      </c>
      <c r="V5" t="n">
        <v>19.2</v>
      </c>
      <c r="W5" t="n">
        <v>23.3</v>
      </c>
      <c r="X5" s="8">
        <f>(IF(E5="",2,IF(E5&lt;=400000,3,IF(E5&gt;=500000,1,2))))*0.1+(IF(OR(G5="",G5=0),2,IF((E5/G5)&lt;=200000,3,IF((E5/G5)&gt;=300000,1,2))))*0.1+(IF(F5="",2,IF(F5&lt;=200,3,IF(F5&gt;=400,1,2))))*0.1+(IF(T5="",2,IF(T5&lt;=2000,3,IF(T5&gt;=3000,1,2))))*0.2+(IF(V5="",2,IF(V5&lt;=15,3,IF(V5&gt;=30,1,2))))*0.15+(IF(W5="",2,IF(W5&lt;=15,3,IF(W5&gt;=25,1,2))))*0.1+(IF(U5="",2,IF(U5&lt;=5,3,IF(U5&gt;=15,1,2))))*0.1+(IF(J5="Yes",3,IF(J5="No",1,2)))*0.05+(IF(OR(K5="",UPPER(TRIM(K5))="UNKNOWN"),2,IF(OR(UPPER(TRIM(K5))="NONE",ISNUMBER(SEARCH("no parking",K5))),1,3)))*0.05+(IF(AND(ISNUMBER(I5),I5&gt;=900),3,IF(AND(ISNUMBER(G5),G5&gt;=2),3,IF(AND(ISNUMBER(I5),I5&gt;=700),2,IF(AND(ISNUMBER(I5),I5&lt;700),1,2)))))*0.05</f>
        <v/>
      </c>
      <c r="Y5">
        <f>IF(X5&gt;=2.3,"Green",IF(X5&gt;=1.7,"Yellow","Red"))</f>
        <v/>
      </c>
    </row>
    <row r="6">
      <c r="A6" s="5" t="inlineStr">
        <is>
          <t>79 Holbrook Rd #2, Quincy, MA 02171</t>
        </is>
      </c>
      <c r="B6" t="inlineStr">
        <is>
          <t>Quincy</t>
        </is>
      </c>
      <c r="C6" s="6" t="inlineStr">
        <is>
          <t>https://www.redfin.com/MA/Quincy/79-Holbrook-Rd-02171/unit-2/home/9032633</t>
        </is>
      </c>
      <c r="D6" s="7" t="inlineStr">
        <is>
          <t>2026-05-12</t>
        </is>
      </c>
      <c r="E6" s="3" t="n">
        <v>349900</v>
      </c>
      <c r="F6" s="3" t="n">
        <v>415</v>
      </c>
      <c r="G6" t="n">
        <v>2</v>
      </c>
      <c r="H6" t="n">
        <v>1</v>
      </c>
      <c r="I6" s="4" t="n">
        <v>627</v>
      </c>
      <c r="J6" t="inlineStr">
        <is>
          <t>No</t>
        </is>
      </c>
      <c r="K6" t="inlineStr">
        <is>
          <t>1 space</t>
        </is>
      </c>
      <c r="L6" s="3">
        <f>Assumptions!B3</f>
        <v/>
      </c>
      <c r="M6" s="3">
        <f>E6-L6</f>
        <v/>
      </c>
      <c r="N6" s="3">
        <f>-PMT(Assumptions!B2/12,Assumptions!B4*12,M6)</f>
        <v/>
      </c>
      <c r="O6" s="3">
        <f>E6*Assumptions!B5/12</f>
        <v/>
      </c>
      <c r="P6" s="3">
        <f>Assumptions!B6</f>
        <v/>
      </c>
      <c r="Q6" s="3">
        <f>Assumptions!B7+Assumptions!B8</f>
        <v/>
      </c>
      <c r="R6" s="3">
        <f>N6+F6+O6+P6+Q6</f>
        <v/>
      </c>
      <c r="S6" s="3" t="n">
        <v>1170</v>
      </c>
      <c r="T6" s="3">
        <f>R6-S6*MAX(IFERROR(G6-1,0),0)</f>
        <v/>
      </c>
      <c r="U6" t="n">
        <v>3</v>
      </c>
      <c r="V6" t="n">
        <v>13.9</v>
      </c>
      <c r="W6" t="n">
        <v>18</v>
      </c>
      <c r="X6" s="8">
        <f>(IF(E6="",2,IF(E6&lt;=400000,3,IF(E6&gt;=500000,1,2))))*0.1+(IF(OR(G6="",G6=0),2,IF((E6/G6)&lt;=200000,3,IF((E6/G6)&gt;=300000,1,2))))*0.1+(IF(F6="",2,IF(F6&lt;=200,3,IF(F6&gt;=400,1,2))))*0.1+(IF(T6="",2,IF(T6&lt;=2000,3,IF(T6&gt;=3000,1,2))))*0.2+(IF(V6="",2,IF(V6&lt;=15,3,IF(V6&gt;=30,1,2))))*0.15+(IF(W6="",2,IF(W6&lt;=15,3,IF(W6&gt;=25,1,2))))*0.1+(IF(U6="",2,IF(U6&lt;=5,3,IF(U6&gt;=15,1,2))))*0.1+(IF(J6="Yes",3,IF(J6="No",1,2)))*0.05+(IF(OR(K6="",UPPER(TRIM(K6))="UNKNOWN"),2,IF(OR(UPPER(TRIM(K6))="NONE",ISNUMBER(SEARCH("no parking",K6))),1,3)))*0.05+(IF(AND(ISNUMBER(I6),I6&gt;=900),3,IF(AND(ISNUMBER(G6),G6&gt;=2),3,IF(AND(ISNUMBER(I6),I6&gt;=700),2,IF(AND(ISNUMBER(I6),I6&lt;700),1,2)))))*0.05</f>
        <v/>
      </c>
      <c r="Y6">
        <f>IF(X6&gt;=2.3,"Green",IF(X6&gt;=1.7,"Yellow","Red"))</f>
        <v/>
      </c>
    </row>
    <row r="7">
      <c r="A7" s="5" t="inlineStr">
        <is>
          <t>198 Allston St #9, Brighton, MA 02135</t>
        </is>
      </c>
      <c r="B7" t="inlineStr">
        <is>
          <t>Brighton</t>
        </is>
      </c>
      <c r="C7" s="6" t="inlineStr">
        <is>
          <t>https://www.redfin.com/MA/Brighton/198-Allston-St-02135/unit-9/home/9013056</t>
        </is>
      </c>
      <c r="D7" s="7" t="inlineStr">
        <is>
          <t>2026-04-21</t>
        </is>
      </c>
      <c r="E7" s="3" t="n">
        <v>299000</v>
      </c>
      <c r="F7" s="3" t="n">
        <v>355</v>
      </c>
      <c r="G7" t="n">
        <v>1</v>
      </c>
      <c r="H7" t="n">
        <v>1</v>
      </c>
      <c r="I7" s="4" t="n">
        <v>380</v>
      </c>
      <c r="J7" t="inlineStr">
        <is>
          <t>No</t>
        </is>
      </c>
      <c r="K7" t="inlineStr">
        <is>
          <t>0 spaces</t>
        </is>
      </c>
      <c r="L7" s="3">
        <f>Assumptions!B3</f>
        <v/>
      </c>
      <c r="M7" s="3">
        <f>E7-L7</f>
        <v/>
      </c>
      <c r="N7" s="3">
        <f>-PMT(Assumptions!B2/12,Assumptions!B4*12,M7)</f>
        <v/>
      </c>
      <c r="O7" s="3">
        <f>E7*Assumptions!B5/12</f>
        <v/>
      </c>
      <c r="P7" s="3">
        <f>Assumptions!B6</f>
        <v/>
      </c>
      <c r="Q7" s="3">
        <f>Assumptions!B7+Assumptions!B8</f>
        <v/>
      </c>
      <c r="R7" s="3">
        <f>N7+F7+O7+P7+Q7</f>
        <v/>
      </c>
      <c r="S7" s="3" t="n">
        <v>0</v>
      </c>
      <c r="T7" s="3">
        <f>R7-S7*MAX(IFERROR(G7-1,0),0)</f>
        <v/>
      </c>
      <c r="U7" t="n">
        <v>0.8</v>
      </c>
      <c r="V7" t="n">
        <v>12.3</v>
      </c>
      <c r="W7" t="n">
        <v>12</v>
      </c>
      <c r="X7" s="8">
        <f>(IF(E7="",2,IF(E7&lt;=400000,3,IF(E7&gt;=500000,1,2))))*0.1+(IF(OR(G7="",G7=0),2,IF((E7/G7)&lt;=200000,3,IF((E7/G7)&gt;=300000,1,2))))*0.1+(IF(F7="",2,IF(F7&lt;=200,3,IF(F7&gt;=400,1,2))))*0.1+(IF(T7="",2,IF(T7&lt;=2000,3,IF(T7&gt;=3000,1,2))))*0.2+(IF(V7="",2,IF(V7&lt;=15,3,IF(V7&gt;=30,1,2))))*0.15+(IF(W7="",2,IF(W7&lt;=15,3,IF(W7&gt;=25,1,2))))*0.1+(IF(U7="",2,IF(U7&lt;=5,3,IF(U7&gt;=15,1,2))))*0.1+(IF(J7="Yes",3,IF(J7="No",1,2)))*0.05+(IF(OR(K7="",UPPER(TRIM(K7))="UNKNOWN"),2,IF(OR(UPPER(TRIM(K7))="NONE",ISNUMBER(SEARCH("no parking",K7))),1,3)))*0.05+(IF(AND(ISNUMBER(I7),I7&gt;=900),3,IF(AND(ISNUMBER(G7),G7&gt;=2),3,IF(AND(ISNUMBER(I7),I7&gt;=700),2,IF(AND(ISNUMBER(I7),I7&lt;700),1,2)))))*0.05</f>
        <v/>
      </c>
      <c r="Y7">
        <f>IF(X7&gt;=2.3,"Green",IF(X7&gt;=1.7,"Yellow","Red"))</f>
        <v/>
      </c>
    </row>
    <row r="8">
      <c r="A8" s="5" t="inlineStr">
        <is>
          <t>245 Kelton St #11, Allston, MA 02134</t>
        </is>
      </c>
      <c r="B8" t="inlineStr">
        <is>
          <t>Allston</t>
        </is>
      </c>
      <c r="C8" s="6" t="inlineStr">
        <is>
          <t>https://www.redfin.com/MA/Allston/245-Kelton-St-02134/unit-11/home/9001030</t>
        </is>
      </c>
      <c r="D8" s="7" t="inlineStr">
        <is>
          <t>2026-04-27</t>
        </is>
      </c>
      <c r="E8" s="3" t="n">
        <v>439000</v>
      </c>
      <c r="F8" s="3" t="n">
        <v>397</v>
      </c>
      <c r="G8" t="n">
        <v>2</v>
      </c>
      <c r="H8" t="n">
        <v>1</v>
      </c>
      <c r="I8" s="4" t="n">
        <v>690</v>
      </c>
      <c r="J8" t="inlineStr">
        <is>
          <t>No</t>
        </is>
      </c>
      <c r="K8" t="inlineStr">
        <is>
          <t>1 space</t>
        </is>
      </c>
      <c r="L8" s="3">
        <f>Assumptions!B3</f>
        <v/>
      </c>
      <c r="M8" s="3">
        <f>E8-L8</f>
        <v/>
      </c>
      <c r="N8" s="3">
        <f>-PMT(Assumptions!B2/12,Assumptions!B4*12,M8)</f>
        <v/>
      </c>
      <c r="O8" s="3">
        <f>E8*Assumptions!B5/12</f>
        <v/>
      </c>
      <c r="P8" s="3">
        <f>Assumptions!B6</f>
        <v/>
      </c>
      <c r="Q8" s="3">
        <f>Assumptions!B7+Assumptions!B8</f>
        <v/>
      </c>
      <c r="R8" s="3">
        <f>N8+F8+O8+P8+Q8</f>
        <v/>
      </c>
      <c r="S8" s="3" t="n">
        <v>1235</v>
      </c>
      <c r="T8" s="3">
        <f>R8-S8*MAX(IFERROR(G8-1,0),0)</f>
        <v/>
      </c>
      <c r="U8" t="n">
        <v>2.7</v>
      </c>
      <c r="V8" t="n">
        <v>13</v>
      </c>
      <c r="W8" t="n">
        <v>12.7</v>
      </c>
      <c r="X8" s="8">
        <f>(IF(E8="",2,IF(E8&lt;=400000,3,IF(E8&gt;=500000,1,2))))*0.1+(IF(OR(G8="",G8=0),2,IF((E8/G8)&lt;=200000,3,IF((E8/G8)&gt;=300000,1,2))))*0.1+(IF(F8="",2,IF(F8&lt;=200,3,IF(F8&gt;=400,1,2))))*0.1+(IF(T8="",2,IF(T8&lt;=2000,3,IF(T8&gt;=3000,1,2))))*0.2+(IF(V8="",2,IF(V8&lt;=15,3,IF(V8&gt;=30,1,2))))*0.15+(IF(W8="",2,IF(W8&lt;=15,3,IF(W8&gt;=25,1,2))))*0.1+(IF(U8="",2,IF(U8&lt;=5,3,IF(U8&gt;=15,1,2))))*0.1+(IF(J8="Yes",3,IF(J8="No",1,2)))*0.05+(IF(OR(K8="",UPPER(TRIM(K8))="UNKNOWN"),2,IF(OR(UPPER(TRIM(K8))="NONE",ISNUMBER(SEARCH("no parking",K8))),1,3)))*0.05+(IF(AND(ISNUMBER(I8),I8&gt;=900),3,IF(AND(ISNUMBER(G8),G8&gt;=2),3,IF(AND(ISNUMBER(I8),I8&gt;=700),2,IF(AND(ISNUMBER(I8),I8&lt;700),1,2)))))*0.05</f>
        <v/>
      </c>
      <c r="Y8">
        <f>IF(X8&gt;=2.3,"Green",IF(X8&gt;=1.7,"Yellow","Red"))</f>
        <v/>
      </c>
    </row>
    <row r="9">
      <c r="A9" s="5" t="inlineStr">
        <is>
          <t>6 Bedford St Unit 3R, Somerville, MA 02143</t>
        </is>
      </c>
      <c r="B9" t="inlineStr">
        <is>
          <t>Somerville</t>
        </is>
      </c>
      <c r="C9" s="6" t="inlineStr">
        <is>
          <t>https://www.redfin.com/MA/Somerville/6-Bedford-St-02143/unit-3R/home/8759837</t>
        </is>
      </c>
      <c r="D9" s="7" t="inlineStr">
        <is>
          <t>2026-05-07</t>
        </is>
      </c>
      <c r="E9" s="3" t="n">
        <v>465000</v>
      </c>
      <c r="F9" s="3" t="n">
        <v>345</v>
      </c>
      <c r="G9" t="n">
        <v>2</v>
      </c>
      <c r="H9" t="n">
        <v>1</v>
      </c>
      <c r="I9" s="4" t="n">
        <v>510</v>
      </c>
      <c r="J9" t="inlineStr">
        <is>
          <t>No</t>
        </is>
      </c>
      <c r="K9" t="inlineStr">
        <is>
          <t>0 spaces</t>
        </is>
      </c>
      <c r="L9" s="3">
        <f>Assumptions!B3</f>
        <v/>
      </c>
      <c r="M9" s="3">
        <f>E9-L9</f>
        <v/>
      </c>
      <c r="N9" s="3">
        <f>-PMT(Assumptions!B2/12,Assumptions!B4*12,M9)</f>
        <v/>
      </c>
      <c r="O9" s="3">
        <f>E9*Assumptions!B5/12</f>
        <v/>
      </c>
      <c r="P9" s="3">
        <f>Assumptions!B6</f>
        <v/>
      </c>
      <c r="Q9" s="3">
        <f>Assumptions!B7+Assumptions!B8</f>
        <v/>
      </c>
      <c r="R9" s="3">
        <f>N9+F9+O9+P9+Q9</f>
        <v/>
      </c>
      <c r="S9" s="3" t="n">
        <v>1495</v>
      </c>
      <c r="T9" s="3">
        <f>R9-S9*MAX(IFERROR(G9-1,0),0)</f>
        <v/>
      </c>
      <c r="U9" t="n">
        <v>2.7</v>
      </c>
      <c r="V9" t="n">
        <v>9.300000000000001</v>
      </c>
      <c r="W9" t="n">
        <v>4.6</v>
      </c>
      <c r="X9" s="8">
        <f>(IF(E9="",2,IF(E9&lt;=400000,3,IF(E9&gt;=500000,1,2))))*0.1+(IF(OR(G9="",G9=0),2,IF((E9/G9)&lt;=200000,3,IF((E9/G9)&gt;=300000,1,2))))*0.1+(IF(F9="",2,IF(F9&lt;=200,3,IF(F9&gt;=400,1,2))))*0.1+(IF(T9="",2,IF(T9&lt;=2000,3,IF(T9&gt;=3000,1,2))))*0.2+(IF(V9="",2,IF(V9&lt;=15,3,IF(V9&gt;=30,1,2))))*0.15+(IF(W9="",2,IF(W9&lt;=15,3,IF(W9&gt;=25,1,2))))*0.1+(IF(U9="",2,IF(U9&lt;=5,3,IF(U9&gt;=15,1,2))))*0.1+(IF(J9="Yes",3,IF(J9="No",1,2)))*0.05+(IF(OR(K9="",UPPER(TRIM(K9))="UNKNOWN"),2,IF(OR(UPPER(TRIM(K9))="NONE",ISNUMBER(SEARCH("no parking",K9))),1,3)))*0.05+(IF(AND(ISNUMBER(I9),I9&gt;=900),3,IF(AND(ISNUMBER(G9),G9&gt;=2),3,IF(AND(ISNUMBER(I9),I9&gt;=700),2,IF(AND(ISNUMBER(I9),I9&lt;700),1,2)))))*0.05</f>
        <v/>
      </c>
      <c r="Y9">
        <f>IF(X9&gt;=2.3,"Green",IF(X9&gt;=1.7,"Yellow","Red"))</f>
        <v/>
      </c>
    </row>
    <row r="10">
      <c r="A10" s="5" t="inlineStr">
        <is>
          <t>6 Bedford St Unit 2F, Somerville, MA 02143</t>
        </is>
      </c>
      <c r="B10" t="inlineStr">
        <is>
          <t>Somerville</t>
        </is>
      </c>
      <c r="C10" s="6" t="inlineStr">
        <is>
          <t>https://www.redfin.com/MA/Somerville/6-Bedford-St-02143/unit-2F/home/8759728</t>
        </is>
      </c>
      <c r="D10" s="7" t="inlineStr">
        <is>
          <t>2026-05-07</t>
        </is>
      </c>
      <c r="E10" s="3" t="n">
        <v>495000</v>
      </c>
      <c r="F10" s="3" t="n">
        <v>360</v>
      </c>
      <c r="G10" t="n">
        <v>2</v>
      </c>
      <c r="H10" t="n">
        <v>1</v>
      </c>
      <c r="I10" s="4" t="n">
        <v>526</v>
      </c>
      <c r="J10" t="inlineStr">
        <is>
          <t>No</t>
        </is>
      </c>
      <c r="K10" t="inlineStr">
        <is>
          <t>2 spaces</t>
        </is>
      </c>
      <c r="L10" s="3">
        <f>Assumptions!B3</f>
        <v/>
      </c>
      <c r="M10" s="3">
        <f>E10-L10</f>
        <v/>
      </c>
      <c r="N10" s="3">
        <f>-PMT(Assumptions!B2/12,Assumptions!B4*12,M10)</f>
        <v/>
      </c>
      <c r="O10" s="3">
        <f>E10*Assumptions!B5/12</f>
        <v/>
      </c>
      <c r="P10" s="3">
        <f>Assumptions!B6</f>
        <v/>
      </c>
      <c r="Q10" s="3">
        <f>Assumptions!B7+Assumptions!B8</f>
        <v/>
      </c>
      <c r="R10" s="3">
        <f>N10+F10+O10+P10+Q10</f>
        <v/>
      </c>
      <c r="S10" s="3" t="n">
        <v>1495</v>
      </c>
      <c r="T10" s="3">
        <f>R10-S10*MAX(IFERROR(G10-1,0),0)</f>
        <v/>
      </c>
      <c r="U10" t="n">
        <v>2.7</v>
      </c>
      <c r="V10" t="n">
        <v>9.300000000000001</v>
      </c>
      <c r="W10" t="n">
        <v>4.6</v>
      </c>
      <c r="X10" s="8">
        <f>(IF(E10="",2,IF(E10&lt;=400000,3,IF(E10&gt;=500000,1,2))))*0.1+(IF(OR(G10="",G10=0),2,IF((E10/G10)&lt;=200000,3,IF((E10/G10)&gt;=300000,1,2))))*0.1+(IF(F10="",2,IF(F10&lt;=200,3,IF(F10&gt;=400,1,2))))*0.1+(IF(T10="",2,IF(T10&lt;=2000,3,IF(T10&gt;=3000,1,2))))*0.2+(IF(V10="",2,IF(V10&lt;=15,3,IF(V10&gt;=30,1,2))))*0.15+(IF(W10="",2,IF(W10&lt;=15,3,IF(W10&gt;=25,1,2))))*0.1+(IF(U10="",2,IF(U10&lt;=5,3,IF(U10&gt;=15,1,2))))*0.1+(IF(J10="Yes",3,IF(J10="No",1,2)))*0.05+(IF(OR(K10="",UPPER(TRIM(K10))="UNKNOWN"),2,IF(OR(UPPER(TRIM(K10))="NONE",ISNUMBER(SEARCH("no parking",K10))),1,3)))*0.05+(IF(AND(ISNUMBER(I10),I10&gt;=900),3,IF(AND(ISNUMBER(G10),G10&gt;=2),3,IF(AND(ISNUMBER(I10),I10&gt;=700),2,IF(AND(ISNUMBER(I10),I10&lt;700),1,2)))))*0.05</f>
        <v/>
      </c>
      <c r="Y10">
        <f>IF(X10&gt;=2.3,"Green",IF(X10&gt;=1.7,"Yellow","Red"))</f>
        <v/>
      </c>
    </row>
    <row r="11">
      <c r="A11" s="5" t="inlineStr">
        <is>
          <t>6 Bedford St Unit 3F, Somerville, MA 02143</t>
        </is>
      </c>
      <c r="B11" t="inlineStr">
        <is>
          <t>Somerville</t>
        </is>
      </c>
      <c r="C11" s="6" t="inlineStr">
        <is>
          <t>https://www.redfin.com/MA/Somerville/6-Bedford-St-02143/unit-3F/home/8760087</t>
        </is>
      </c>
      <c r="D11" s="7" t="inlineStr">
        <is>
          <t>2026-05-07</t>
        </is>
      </c>
      <c r="E11" s="3" t="n">
        <v>495000</v>
      </c>
      <c r="F11" s="3" t="n">
        <v>360</v>
      </c>
      <c r="G11" t="n">
        <v>2</v>
      </c>
      <c r="H11" t="n">
        <v>1</v>
      </c>
      <c r="I11" s="4" t="n">
        <v>526</v>
      </c>
      <c r="J11" t="inlineStr">
        <is>
          <t>No</t>
        </is>
      </c>
      <c r="K11" t="inlineStr">
        <is>
          <t>0 spaces</t>
        </is>
      </c>
      <c r="L11" s="3">
        <f>Assumptions!B3</f>
        <v/>
      </c>
      <c r="M11" s="3">
        <f>E11-L11</f>
        <v/>
      </c>
      <c r="N11" s="3">
        <f>-PMT(Assumptions!B2/12,Assumptions!B4*12,M11)</f>
        <v/>
      </c>
      <c r="O11" s="3">
        <f>E11*Assumptions!B5/12</f>
        <v/>
      </c>
      <c r="P11" s="3">
        <f>Assumptions!B6</f>
        <v/>
      </c>
      <c r="Q11" s="3">
        <f>Assumptions!B7+Assumptions!B8</f>
        <v/>
      </c>
      <c r="R11" s="3">
        <f>N11+F11+O11+P11+Q11</f>
        <v/>
      </c>
      <c r="S11" s="3" t="n">
        <v>1495</v>
      </c>
      <c r="T11" s="3">
        <f>R11-S11*MAX(IFERROR(G11-1,0),0)</f>
        <v/>
      </c>
      <c r="U11" t="n">
        <v>2.7</v>
      </c>
      <c r="V11" t="n">
        <v>9.300000000000001</v>
      </c>
      <c r="W11" t="n">
        <v>4.6</v>
      </c>
      <c r="X11" s="8">
        <f>(IF(E11="",2,IF(E11&lt;=400000,3,IF(E11&gt;=500000,1,2))))*0.1+(IF(OR(G11="",G11=0),2,IF((E11/G11)&lt;=200000,3,IF((E11/G11)&gt;=300000,1,2))))*0.1+(IF(F11="",2,IF(F11&lt;=200,3,IF(F11&gt;=400,1,2))))*0.1+(IF(T11="",2,IF(T11&lt;=2000,3,IF(T11&gt;=3000,1,2))))*0.2+(IF(V11="",2,IF(V11&lt;=15,3,IF(V11&gt;=30,1,2))))*0.15+(IF(W11="",2,IF(W11&lt;=15,3,IF(W11&gt;=25,1,2))))*0.1+(IF(U11="",2,IF(U11&lt;=5,3,IF(U11&gt;=15,1,2))))*0.1+(IF(J11="Yes",3,IF(J11="No",1,2)))*0.05+(IF(OR(K11="",UPPER(TRIM(K11))="UNKNOWN"),2,IF(OR(UPPER(TRIM(K11))="NONE",ISNUMBER(SEARCH("no parking",K11))),1,3)))*0.05+(IF(AND(ISNUMBER(I11),I11&gt;=900),3,IF(AND(ISNUMBER(G11),G11&gt;=2),3,IF(AND(ISNUMBER(I11),I11&gt;=700),2,IF(AND(ISNUMBER(I11),I11&lt;700),1,2)))))*0.05</f>
        <v/>
      </c>
      <c r="Y11">
        <f>IF(X11&gt;=2.3,"Green",IF(X11&gt;=1.7,"Yellow","Red"))</f>
        <v/>
      </c>
    </row>
    <row r="12">
      <c r="A12" s="5" t="inlineStr">
        <is>
          <t>212-A Quincy Shore Dr, Quincy, MA 02171</t>
        </is>
      </c>
      <c r="B12" t="inlineStr">
        <is>
          <t>Quincy</t>
        </is>
      </c>
      <c r="C12" s="6" t="inlineStr">
        <is>
          <t>https://www.redfin.com/MA/Quincy/212-Quincy-Shore-Dr-02171/home/9009303</t>
        </is>
      </c>
      <c r="D12" s="7" t="n"/>
      <c r="E12" s="3" t="n">
        <v>499900</v>
      </c>
      <c r="F12" s="3" t="n">
        <v>0</v>
      </c>
      <c r="G12" t="n">
        <v>2</v>
      </c>
      <c r="H12" t="n">
        <v>1</v>
      </c>
      <c r="I12" s="4" t="n">
        <v>864</v>
      </c>
      <c r="J12" t="inlineStr">
        <is>
          <t>No</t>
        </is>
      </c>
      <c r="K12" t="inlineStr">
        <is>
          <t>0 spaces</t>
        </is>
      </c>
      <c r="L12" s="3">
        <f>Assumptions!B3</f>
        <v/>
      </c>
      <c r="M12" s="3">
        <f>E12-L12</f>
        <v/>
      </c>
      <c r="N12" s="3">
        <f>-PMT(Assumptions!B2/12,Assumptions!B4*12,M12)</f>
        <v/>
      </c>
      <c r="O12" s="3">
        <f>E12*Assumptions!B5/12</f>
        <v/>
      </c>
      <c r="P12" s="3">
        <f>Assumptions!B6</f>
        <v/>
      </c>
      <c r="Q12" s="3">
        <f>Assumptions!B7+Assumptions!B8</f>
        <v/>
      </c>
      <c r="R12" s="3">
        <f>N12+F12+O12+P12+Q12</f>
        <v/>
      </c>
      <c r="S12" s="3" t="n">
        <v>1170</v>
      </c>
      <c r="T12" s="3">
        <f>R12-S12*MAX(IFERROR(G12-1,0),0)</f>
        <v/>
      </c>
      <c r="U12" t="n">
        <v>5</v>
      </c>
      <c r="V12" t="n">
        <v>12.6</v>
      </c>
      <c r="W12" t="n">
        <v>16.7</v>
      </c>
      <c r="X12" s="8">
        <f>(IF(E12="",2,IF(E12&lt;=400000,3,IF(E12&gt;=500000,1,2))))*0.1+(IF(OR(G12="",G12=0),2,IF((E12/G12)&lt;=200000,3,IF((E12/G12)&gt;=300000,1,2))))*0.1+(IF(F12="",2,IF(F12&lt;=200,3,IF(F12&gt;=400,1,2))))*0.1+(IF(T12="",2,IF(T12&lt;=2000,3,IF(T12&gt;=3000,1,2))))*0.2+(IF(V12="",2,IF(V12&lt;=15,3,IF(V12&gt;=30,1,2))))*0.15+(IF(W12="",2,IF(W12&lt;=15,3,IF(W12&gt;=25,1,2))))*0.1+(IF(U12="",2,IF(U12&lt;=5,3,IF(U12&gt;=15,1,2))))*0.1+(IF(J12="Yes",3,IF(J12="No",1,2)))*0.05+(IF(OR(K12="",UPPER(TRIM(K12))="UNKNOWN"),2,IF(OR(UPPER(TRIM(K12))="NONE",ISNUMBER(SEARCH("no parking",K12))),1,3)))*0.05+(IF(AND(ISNUMBER(I12),I12&gt;=900),3,IF(AND(ISNUMBER(G12),G12&gt;=2),3,IF(AND(ISNUMBER(I12),I12&gt;=700),2,IF(AND(ISNUMBER(I12),I12&lt;700),1,2)))))*0.05</f>
        <v/>
      </c>
      <c r="Y12">
        <f>IF(X12&gt;=2.3,"Green",IF(X12&gt;=1.7,"Yellow","Red"))</f>
        <v/>
      </c>
    </row>
    <row r="13">
      <c r="A13" s="5" t="inlineStr">
        <is>
          <t>198 Allston St #3, Brighton, MA 02134</t>
        </is>
      </c>
      <c r="B13" t="inlineStr">
        <is>
          <t>Brighton</t>
        </is>
      </c>
      <c r="C13" s="6" t="inlineStr">
        <is>
          <t>https://www.redfin.com/MA/Brighton/198-Allston-St-02135/unit-3/home/9013031</t>
        </is>
      </c>
      <c r="D13" s="7" t="n"/>
      <c r="E13" s="3" t="n">
        <v>270000</v>
      </c>
      <c r="F13" s="3" t="n">
        <v>295</v>
      </c>
      <c r="G13" t="n">
        <v>1</v>
      </c>
      <c r="H13" t="n">
        <v>1</v>
      </c>
      <c r="I13" s="4" t="n">
        <v>318</v>
      </c>
      <c r="J13" t="inlineStr">
        <is>
          <t>No</t>
        </is>
      </c>
      <c r="K13" t="inlineStr">
        <is>
          <t>0 spaces</t>
        </is>
      </c>
      <c r="L13" s="3">
        <f>Assumptions!B3</f>
        <v/>
      </c>
      <c r="M13" s="3">
        <f>E13-L13</f>
        <v/>
      </c>
      <c r="N13" s="3">
        <f>-PMT(Assumptions!B2/12,Assumptions!B4*12,M13)</f>
        <v/>
      </c>
      <c r="O13" s="3">
        <f>E13*Assumptions!B5/12</f>
        <v/>
      </c>
      <c r="P13" s="3">
        <f>Assumptions!B6</f>
        <v/>
      </c>
      <c r="Q13" s="3">
        <f>Assumptions!B7+Assumptions!B8</f>
        <v/>
      </c>
      <c r="R13" s="3">
        <f>N13+F13+O13+P13+Q13</f>
        <v/>
      </c>
      <c r="S13" s="3" t="n">
        <v>0</v>
      </c>
      <c r="T13" s="3">
        <f>R13-S13*MAX(IFERROR(G13-1,0),0)</f>
        <v/>
      </c>
      <c r="U13" t="n">
        <v>0.8</v>
      </c>
      <c r="V13" t="n">
        <v>12.4</v>
      </c>
      <c r="W13" t="n">
        <v>12</v>
      </c>
      <c r="X13" s="8">
        <f>(IF(E13="",2,IF(E13&lt;=400000,3,IF(E13&gt;=500000,1,2))))*0.1+(IF(OR(G13="",G13=0),2,IF((E13/G13)&lt;=200000,3,IF((E13/G13)&gt;=300000,1,2))))*0.1+(IF(F13="",2,IF(F13&lt;=200,3,IF(F13&gt;=400,1,2))))*0.1+(IF(T13="",2,IF(T13&lt;=2000,3,IF(T13&gt;=3000,1,2))))*0.2+(IF(V13="",2,IF(V13&lt;=15,3,IF(V13&gt;=30,1,2))))*0.15+(IF(W13="",2,IF(W13&lt;=15,3,IF(W13&gt;=25,1,2))))*0.1+(IF(U13="",2,IF(U13&lt;=5,3,IF(U13&gt;=15,1,2))))*0.1+(IF(J13="Yes",3,IF(J13="No",1,2)))*0.05+(IF(OR(K13="",UPPER(TRIM(K13))="UNKNOWN"),2,IF(OR(UPPER(TRIM(K13))="NONE",ISNUMBER(SEARCH("no parking",K13))),1,3)))*0.05+(IF(AND(ISNUMBER(I13),I13&gt;=900),3,IF(AND(ISNUMBER(G13),G13&gt;=2),3,IF(AND(ISNUMBER(I13),I13&gt;=700),2,IF(AND(ISNUMBER(I13),I13&lt;700),1,2)))))*0.05</f>
        <v/>
      </c>
      <c r="Y13">
        <f>IF(X13&gt;=2.3,"Green",IF(X13&gt;=1.7,"Yellow","Red"))</f>
        <v/>
      </c>
    </row>
    <row r="14">
      <c r="A14" s="5" t="inlineStr">
        <is>
          <t>211 West St Unit 4B, Quincy, MA 02169</t>
        </is>
      </c>
      <c r="B14" t="inlineStr">
        <is>
          <t>Quincy</t>
        </is>
      </c>
      <c r="C14" s="6" t="inlineStr">
        <is>
          <t>https://www.redfin.com/MA/Quincy/211-West-St-02169/unit-4B/home/11720536</t>
        </is>
      </c>
      <c r="D14" s="7" t="inlineStr">
        <is>
          <t>2026-04-16</t>
        </is>
      </c>
      <c r="E14" s="3" t="n">
        <v>375000</v>
      </c>
      <c r="F14" s="3" t="n">
        <v>375</v>
      </c>
      <c r="G14" t="n">
        <v>2</v>
      </c>
      <c r="H14" t="n">
        <v>1.5</v>
      </c>
      <c r="I14" s="4" t="n">
        <v>743</v>
      </c>
      <c r="J14" t="inlineStr">
        <is>
          <t>No</t>
        </is>
      </c>
      <c r="K14" t="inlineStr">
        <is>
          <t>2 spaces</t>
        </is>
      </c>
      <c r="L14" s="3">
        <f>Assumptions!B3</f>
        <v/>
      </c>
      <c r="M14" s="3">
        <f>E14-L14</f>
        <v/>
      </c>
      <c r="N14" s="3">
        <f>-PMT(Assumptions!B2/12,Assumptions!B4*12,M14)</f>
        <v/>
      </c>
      <c r="O14" s="3">
        <f>E14*Assumptions!B5/12</f>
        <v/>
      </c>
      <c r="P14" s="3">
        <f>Assumptions!B6</f>
        <v/>
      </c>
      <c r="Q14" s="3">
        <f>Assumptions!B7+Assumptions!B8</f>
        <v/>
      </c>
      <c r="R14" s="3">
        <f>N14+F14+O14+P14+Q14</f>
        <v/>
      </c>
      <c r="S14" s="3" t="n">
        <v>1170</v>
      </c>
      <c r="T14" s="3">
        <f>R14-S14*MAX(IFERROR(G14-1,0),0)</f>
        <v/>
      </c>
      <c r="U14" t="n">
        <v>4.9</v>
      </c>
      <c r="V14" t="n">
        <v>16.8</v>
      </c>
      <c r="W14" t="n">
        <v>20.9</v>
      </c>
      <c r="X14" s="8">
        <f>(IF(E14="",2,IF(E14&lt;=400000,3,IF(E14&gt;=500000,1,2))))*0.1+(IF(OR(G14="",G14=0),2,IF((E14/G14)&lt;=200000,3,IF((E14/G14)&gt;=300000,1,2))))*0.1+(IF(F14="",2,IF(F14&lt;=200,3,IF(F14&gt;=400,1,2))))*0.1+(IF(T14="",2,IF(T14&lt;=2000,3,IF(T14&gt;=3000,1,2))))*0.2+(IF(V14="",2,IF(V14&lt;=15,3,IF(V14&gt;=30,1,2))))*0.15+(IF(W14="",2,IF(W14&lt;=15,3,IF(W14&gt;=25,1,2))))*0.1+(IF(U14="",2,IF(U14&lt;=5,3,IF(U14&gt;=15,1,2))))*0.1+(IF(J14="Yes",3,IF(J14="No",1,2)))*0.05+(IF(OR(K14="",UPPER(TRIM(K14))="UNKNOWN"),2,IF(OR(UPPER(TRIM(K14))="NONE",ISNUMBER(SEARCH("no parking",K14))),1,3)))*0.05+(IF(AND(ISNUMBER(I14),I14&gt;=900),3,IF(AND(ISNUMBER(G14),G14&gt;=2),3,IF(AND(ISNUMBER(I14),I14&gt;=700),2,IF(AND(ISNUMBER(I14),I14&lt;700),1,2)))))*0.05</f>
        <v/>
      </c>
      <c r="Y14">
        <f>IF(X14&gt;=2.3,"Green",IF(X14&gt;=1.7,"Yellow","Red"))</f>
        <v/>
      </c>
    </row>
    <row r="15">
      <c r="A15" s="5" t="inlineStr">
        <is>
          <t>4-6 Jensen #6, Watertown, MA 02472</t>
        </is>
      </c>
      <c r="B15" t="inlineStr">
        <is>
          <t>Watertown</t>
        </is>
      </c>
      <c r="C15" s="6" t="inlineStr">
        <is>
          <t>https://www.redfin.com/MA/Watertown/4-Jensen-Rd-02472/unit-6/home/201411071</t>
        </is>
      </c>
      <c r="D15" s="7" t="inlineStr">
        <is>
          <t>2026-04-16</t>
        </is>
      </c>
      <c r="E15" s="3" t="n">
        <v>600000</v>
      </c>
      <c r="F15" s="3" t="n">
        <v>0</v>
      </c>
      <c r="G15" t="n">
        <v>3</v>
      </c>
      <c r="H15" t="n">
        <v>1</v>
      </c>
      <c r="I15" s="4" t="n">
        <v>1264</v>
      </c>
      <c r="J15" t="inlineStr">
        <is>
          <t>No</t>
        </is>
      </c>
      <c r="K15" t="inlineStr">
        <is>
          <t>4 spaces</t>
        </is>
      </c>
      <c r="L15" s="3">
        <f>Assumptions!B3</f>
        <v/>
      </c>
      <c r="M15" s="3">
        <f>E15-L15</f>
        <v/>
      </c>
      <c r="N15" s="3">
        <f>-PMT(Assumptions!B2/12,Assumptions!B4*12,M15)</f>
        <v/>
      </c>
      <c r="O15" s="3">
        <f>E15*Assumptions!B5/12</f>
        <v/>
      </c>
      <c r="P15" s="3">
        <f>Assumptions!B6</f>
        <v/>
      </c>
      <c r="Q15" s="3">
        <f>Assumptions!B7+Assumptions!B8</f>
        <v/>
      </c>
      <c r="R15" s="3">
        <f>N15+F15+O15+P15+Q15</f>
        <v/>
      </c>
      <c r="S15" s="3" t="n">
        <v>1365</v>
      </c>
      <c r="T15" s="3">
        <f>R15-S15*MAX(IFERROR(G15-1,0),0)</f>
        <v/>
      </c>
      <c r="U15" t="n">
        <v>9.4</v>
      </c>
      <c r="V15" t="n">
        <v>17.4</v>
      </c>
      <c r="W15" t="n">
        <v>17.9</v>
      </c>
      <c r="X15" s="8">
        <f>(IF(E15="",2,IF(E15&lt;=400000,3,IF(E15&gt;=500000,1,2))))*0.1+(IF(OR(G15="",G15=0),2,IF((E15/G15)&lt;=200000,3,IF((E15/G15)&gt;=300000,1,2))))*0.1+(IF(F15="",2,IF(F15&lt;=200,3,IF(F15&gt;=400,1,2))))*0.1+(IF(T15="",2,IF(T15&lt;=2000,3,IF(T15&gt;=3000,1,2))))*0.2+(IF(V15="",2,IF(V15&lt;=15,3,IF(V15&gt;=30,1,2))))*0.15+(IF(W15="",2,IF(W15&lt;=15,3,IF(W15&gt;=25,1,2))))*0.1+(IF(U15="",2,IF(U15&lt;=5,3,IF(U15&gt;=15,1,2))))*0.1+(IF(J15="Yes",3,IF(J15="No",1,2)))*0.05+(IF(OR(K15="",UPPER(TRIM(K15))="UNKNOWN"),2,IF(OR(UPPER(TRIM(K15))="NONE",ISNUMBER(SEARCH("no parking",K15))),1,3)))*0.05+(IF(AND(ISNUMBER(I15),I15&gt;=900),3,IF(AND(ISNUMBER(G15),G15&gt;=2),3,IF(AND(ISNUMBER(I15),I15&gt;=700),2,IF(AND(ISNUMBER(I15),I15&lt;700),1,2)))))*0.05</f>
        <v/>
      </c>
      <c r="Y15">
        <f>IF(X15&gt;=2.3,"Green",IF(X15&gt;=1.7,"Yellow","Red"))</f>
        <v/>
      </c>
    </row>
    <row r="16">
      <c r="A16" s="5" t="inlineStr">
        <is>
          <t>301 Lowell St #12, Somerville, MA 02145</t>
        </is>
      </c>
      <c r="B16" t="inlineStr">
        <is>
          <t>Somerville</t>
        </is>
      </c>
      <c r="C16" s="6" t="inlineStr">
        <is>
          <t>https://www.redfin.com/MA/Somerville/301-Lowell-St-02145/unit-12/home/21886063</t>
        </is>
      </c>
      <c r="D16" s="7" t="inlineStr">
        <is>
          <t>2026-05-01</t>
        </is>
      </c>
      <c r="E16" s="3" t="n">
        <v>558000</v>
      </c>
      <c r="F16" s="3" t="n">
        <v>0</v>
      </c>
      <c r="G16" t="n">
        <v>2</v>
      </c>
      <c r="H16" t="n">
        <v>1</v>
      </c>
      <c r="I16" s="4" t="n">
        <v>775</v>
      </c>
      <c r="J16" t="inlineStr">
        <is>
          <t>No</t>
        </is>
      </c>
      <c r="K16" t="inlineStr">
        <is>
          <t>Unknown</t>
        </is>
      </c>
      <c r="L16" s="3">
        <f>Assumptions!B3</f>
        <v/>
      </c>
      <c r="M16" s="3">
        <f>E16-L16</f>
        <v/>
      </c>
      <c r="N16" s="3">
        <f>-PMT(Assumptions!B2/12,Assumptions!B4*12,M16)</f>
        <v/>
      </c>
      <c r="O16" s="3">
        <f>E16*Assumptions!B5/12</f>
        <v/>
      </c>
      <c r="P16" s="3">
        <f>Assumptions!B6</f>
        <v/>
      </c>
      <c r="Q16" s="3">
        <f>Assumptions!B7+Assumptions!B8</f>
        <v/>
      </c>
      <c r="R16" s="3">
        <f>N16+F16+O16+P16+Q16</f>
        <v/>
      </c>
      <c r="S16" s="3" t="n">
        <v>1495</v>
      </c>
      <c r="T16" s="3">
        <f>R16-S16*MAX(IFERROR(G16-1,0),0)</f>
        <v/>
      </c>
      <c r="U16" t="n">
        <v>0.7</v>
      </c>
      <c r="V16" t="n">
        <v>12.2</v>
      </c>
      <c r="W16" t="n">
        <v>8.800000000000001</v>
      </c>
      <c r="X16" s="8">
        <f>(IF(E16="",2,IF(E16&lt;=400000,3,IF(E16&gt;=500000,1,2))))*0.1+(IF(OR(G16="",G16=0),2,IF((E16/G16)&lt;=200000,3,IF((E16/G16)&gt;=300000,1,2))))*0.1+(IF(F16="",2,IF(F16&lt;=200,3,IF(F16&gt;=400,1,2))))*0.1+(IF(T16="",2,IF(T16&lt;=2000,3,IF(T16&gt;=3000,1,2))))*0.2+(IF(V16="",2,IF(V16&lt;=15,3,IF(V16&gt;=30,1,2))))*0.15+(IF(W16="",2,IF(W16&lt;=15,3,IF(W16&gt;=25,1,2))))*0.1+(IF(U16="",2,IF(U16&lt;=5,3,IF(U16&gt;=15,1,2))))*0.1+(IF(J16="Yes",3,IF(J16="No",1,2)))*0.05+(IF(OR(K16="",UPPER(TRIM(K16))="UNKNOWN"),2,IF(OR(UPPER(TRIM(K16))="NONE",ISNUMBER(SEARCH("no parking",K16))),1,3)))*0.05+(IF(AND(ISNUMBER(I16),I16&gt;=900),3,IF(AND(ISNUMBER(G16),G16&gt;=2),3,IF(AND(ISNUMBER(I16),I16&gt;=700),2,IF(AND(ISNUMBER(I16),I16&lt;700),1,2)))))*0.05</f>
        <v/>
      </c>
      <c r="Y16">
        <f>IF(X16&gt;=2.3,"Green",IF(X16&gt;=1.7,"Yellow","Red"))</f>
        <v/>
      </c>
    </row>
    <row r="17">
      <c r="A17" s="5" t="inlineStr">
        <is>
          <t>29-31 Washburn Ave Unit 1B, Cambridge, MA 01240</t>
        </is>
      </c>
      <c r="B17" t="inlineStr">
        <is>
          <t>Cambridge</t>
        </is>
      </c>
      <c r="C17" s="6" t="inlineStr">
        <is>
          <t>https://www.redfin.com/MA/Cambridge/2931-Washburn-Ave-02140/unit-1B/home/201741454</t>
        </is>
      </c>
      <c r="D17" s="7" t="inlineStr">
        <is>
          <t>2026-05-07</t>
        </is>
      </c>
      <c r="E17" s="3" t="n">
        <v>455000</v>
      </c>
      <c r="F17" s="3" t="n">
        <v>83</v>
      </c>
      <c r="G17" t="n">
        <v>2</v>
      </c>
      <c r="H17" t="n">
        <v>1</v>
      </c>
      <c r="I17" s="4" t="n">
        <v>776</v>
      </c>
      <c r="J17" t="inlineStr">
        <is>
          <t>No</t>
        </is>
      </c>
      <c r="K17" t="inlineStr">
        <is>
          <t>0 spaces</t>
        </is>
      </c>
      <c r="L17" s="3">
        <f>Assumptions!B3</f>
        <v/>
      </c>
      <c r="M17" s="3">
        <f>E17-L17</f>
        <v/>
      </c>
      <c r="N17" s="3">
        <f>-PMT(Assumptions!B2/12,Assumptions!B4*12,M17)</f>
        <v/>
      </c>
      <c r="O17" s="3">
        <f>E17*Assumptions!B5/12</f>
        <v/>
      </c>
      <c r="P17" s="3">
        <f>Assumptions!B6</f>
        <v/>
      </c>
      <c r="Q17" s="3">
        <f>Assumptions!B7+Assumptions!B8</f>
        <v/>
      </c>
      <c r="R17" s="3">
        <f>N17+F17+O17+P17+Q17</f>
        <v/>
      </c>
      <c r="S17" s="3" t="n">
        <v>1625</v>
      </c>
      <c r="T17" s="3">
        <f>R17-S17*MAX(IFERROR(G17-1,0),0)</f>
        <v/>
      </c>
      <c r="U17" t="n">
        <v>4</v>
      </c>
      <c r="V17" t="n">
        <v>15.7</v>
      </c>
      <c r="W17" t="n">
        <v>12.4</v>
      </c>
      <c r="X17" s="8">
        <f>(IF(E17="",2,IF(E17&lt;=400000,3,IF(E17&gt;=500000,1,2))))*0.1+(IF(OR(G17="",G17=0),2,IF((E17/G17)&lt;=200000,3,IF((E17/G17)&gt;=300000,1,2))))*0.1+(IF(F17="",2,IF(F17&lt;=200,3,IF(F17&gt;=400,1,2))))*0.1+(IF(T17="",2,IF(T17&lt;=2000,3,IF(T17&gt;=3000,1,2))))*0.2+(IF(V17="",2,IF(V17&lt;=15,3,IF(V17&gt;=30,1,2))))*0.15+(IF(W17="",2,IF(W17&lt;=15,3,IF(W17&gt;=25,1,2))))*0.1+(IF(U17="",2,IF(U17&lt;=5,3,IF(U17&gt;=15,1,2))))*0.1+(IF(J17="Yes",3,IF(J17="No",1,2)))*0.05+(IF(OR(K17="",UPPER(TRIM(K17))="UNKNOWN"),2,IF(OR(UPPER(TRIM(K17))="NONE",ISNUMBER(SEARCH("no parking",K17))),1,3)))*0.05+(IF(AND(ISNUMBER(I17),I17&gt;=900),3,IF(AND(ISNUMBER(G17),G17&gt;=2),3,IF(AND(ISNUMBER(I17),I17&gt;=700),2,IF(AND(ISNUMBER(I17),I17&lt;700),1,2)))))*0.05</f>
        <v/>
      </c>
      <c r="Y17">
        <f>IF(X17&gt;=2.3,"Green",IF(X17&gt;=1.7,"Yellow","Red"))</f>
        <v/>
      </c>
    </row>
    <row r="18">
      <c r="A18" s="5" t="inlineStr">
        <is>
          <t>0 Beachview Ave, Malden, MA 02148</t>
        </is>
      </c>
      <c r="B18" t="inlineStr">
        <is>
          <t>Malden</t>
        </is>
      </c>
      <c r="C18" s="6" t="inlineStr">
        <is>
          <t>https://www.redfin.com/MA/Malden/0-Beachview-Ave-02148/home/199084591</t>
        </is>
      </c>
      <c r="D18" s="7" t="inlineStr">
        <is>
          <t>2026-05-01</t>
        </is>
      </c>
      <c r="E18" s="3" t="n">
        <v>159900</v>
      </c>
      <c r="F18" s="3" t="n">
        <v>0</v>
      </c>
      <c r="I18" s="4" t="n"/>
      <c r="J18" t="inlineStr">
        <is>
          <t>No</t>
        </is>
      </c>
      <c r="K18" t="inlineStr">
        <is>
          <t>Unknown</t>
        </is>
      </c>
      <c r="L18" s="3">
        <f>Assumptions!B3</f>
        <v/>
      </c>
      <c r="M18" s="3">
        <f>E18-L18</f>
        <v/>
      </c>
      <c r="N18" s="3">
        <f>-PMT(Assumptions!B2/12,Assumptions!B4*12,M18)</f>
        <v/>
      </c>
      <c r="O18" s="3">
        <f>E18*Assumptions!B5/12</f>
        <v/>
      </c>
      <c r="P18" s="3">
        <f>Assumptions!B6</f>
        <v/>
      </c>
      <c r="Q18" s="3">
        <f>Assumptions!B7+Assumptions!B8</f>
        <v/>
      </c>
      <c r="R18" s="3">
        <f>N18+F18+O18+P18+Q18</f>
        <v/>
      </c>
      <c r="S18" s="3" t="n">
        <v>0</v>
      </c>
      <c r="T18" s="3">
        <f>R18-S18*MAX(IFERROR(G18-1,0),0)</f>
        <v/>
      </c>
      <c r="X18" s="8">
        <f>(IF(E18="",2,IF(E18&lt;=400000,3,IF(E18&gt;=500000,1,2))))*0.1+(IF(OR(G18="",G18=0),2,IF((E18/G18)&lt;=200000,3,IF((E18/G18)&gt;=300000,1,2))))*0.1+(IF(F18="",2,IF(F18&lt;=200,3,IF(F18&gt;=400,1,2))))*0.1+(IF(T18="",2,IF(T18&lt;=2000,3,IF(T18&gt;=3000,1,2))))*0.2+(IF(V18="",2,IF(V18&lt;=15,3,IF(V18&gt;=30,1,2))))*0.15+(IF(W18="",2,IF(W18&lt;=15,3,IF(W18&gt;=25,1,2))))*0.1+(IF(U18="",2,IF(U18&lt;=5,3,IF(U18&gt;=15,1,2))))*0.1+(IF(J18="Yes",3,IF(J18="No",1,2)))*0.05+(IF(OR(K18="",UPPER(TRIM(K18))="UNKNOWN"),2,IF(OR(UPPER(TRIM(K18))="NONE",ISNUMBER(SEARCH("no parking",K18))),1,3)))*0.05+(IF(AND(ISNUMBER(I18),I18&gt;=900),3,IF(AND(ISNUMBER(G18),G18&gt;=2),3,IF(AND(ISNUMBER(I18),I18&gt;=700),2,IF(AND(ISNUMBER(I18),I18&lt;700),1,2)))))*0.05</f>
        <v/>
      </c>
      <c r="Y18">
        <f>IF(X18&gt;=2.3,"Green",IF(X18&gt;=1.7,"Yellow","Red"))</f>
        <v/>
      </c>
    </row>
    <row r="19">
      <c r="A19" s="5" t="inlineStr">
        <is>
          <t>0 Gordon Rd, Medford, MA 02155</t>
        </is>
      </c>
      <c r="B19" t="inlineStr">
        <is>
          <t>Medford</t>
        </is>
      </c>
      <c r="C19" s="6" t="inlineStr">
        <is>
          <t>https://www.redfin.com/MA/Medford/0-Gordon-Rd-02155/home/187063221</t>
        </is>
      </c>
      <c r="D19" s="7" t="n"/>
      <c r="E19" s="3" t="n">
        <v>369000</v>
      </c>
      <c r="F19" s="3" t="n">
        <v>0</v>
      </c>
      <c r="I19" s="4" t="n"/>
      <c r="J19" t="inlineStr">
        <is>
          <t>No</t>
        </is>
      </c>
      <c r="K19" t="inlineStr">
        <is>
          <t>Unknown</t>
        </is>
      </c>
      <c r="L19" s="3">
        <f>Assumptions!B3</f>
        <v/>
      </c>
      <c r="M19" s="3">
        <f>E19-L19</f>
        <v/>
      </c>
      <c r="N19" s="3">
        <f>-PMT(Assumptions!B2/12,Assumptions!B4*12,M19)</f>
        <v/>
      </c>
      <c r="O19" s="3">
        <f>E19*Assumptions!B5/12</f>
        <v/>
      </c>
      <c r="P19" s="3">
        <f>Assumptions!B6</f>
        <v/>
      </c>
      <c r="Q19" s="3">
        <f>Assumptions!B7+Assumptions!B8</f>
        <v/>
      </c>
      <c r="R19" s="3">
        <f>N19+F19+O19+P19+Q19</f>
        <v/>
      </c>
      <c r="S19" s="3" t="n">
        <v>0</v>
      </c>
      <c r="T19" s="3">
        <f>R19-S19*MAX(IFERROR(G19-1,0),0)</f>
        <v/>
      </c>
      <c r="U19" t="n">
        <v>5</v>
      </c>
      <c r="V19" t="n">
        <v>12.2</v>
      </c>
      <c r="W19" t="n">
        <v>12.4</v>
      </c>
      <c r="X19" s="8">
        <f>(IF(E19="",2,IF(E19&lt;=400000,3,IF(E19&gt;=500000,1,2))))*0.1+(IF(OR(G19="",G19=0),2,IF((E19/G19)&lt;=200000,3,IF((E19/G19)&gt;=300000,1,2))))*0.1+(IF(F19="",2,IF(F19&lt;=200,3,IF(F19&gt;=400,1,2))))*0.1+(IF(T19="",2,IF(T19&lt;=2000,3,IF(T19&gt;=3000,1,2))))*0.2+(IF(V19="",2,IF(V19&lt;=15,3,IF(V19&gt;=30,1,2))))*0.15+(IF(W19="",2,IF(W19&lt;=15,3,IF(W19&gt;=25,1,2))))*0.1+(IF(U19="",2,IF(U19&lt;=5,3,IF(U19&gt;=15,1,2))))*0.1+(IF(J19="Yes",3,IF(J19="No",1,2)))*0.05+(IF(OR(K19="",UPPER(TRIM(K19))="UNKNOWN"),2,IF(OR(UPPER(TRIM(K19))="NONE",ISNUMBER(SEARCH("no parking",K19))),1,3)))*0.05+(IF(AND(ISNUMBER(I19),I19&gt;=900),3,IF(AND(ISNUMBER(G19),G19&gt;=2),3,IF(AND(ISNUMBER(I19),I19&gt;=700),2,IF(AND(ISNUMBER(I19),I19&lt;700),1,2)))))*0.05</f>
        <v/>
      </c>
      <c r="Y19">
        <f>IF(X19&gt;=2.3,"Green",IF(X19&gt;=1.7,"Yellow","Red"))</f>
        <v/>
      </c>
    </row>
    <row r="20">
      <c r="A20" s="5" t="inlineStr">
        <is>
          <t>27 Sixth Ave, Quincy, MA 02169</t>
        </is>
      </c>
      <c r="B20" t="inlineStr">
        <is>
          <t>Quincy</t>
        </is>
      </c>
      <c r="C20" s="6" t="inlineStr">
        <is>
          <t>https://www.redfin.com/MA/Quincy/27-6th-Ave-02169/home/8946597</t>
        </is>
      </c>
      <c r="D20" s="7" t="n"/>
      <c r="E20" s="3" t="n">
        <v>499000</v>
      </c>
      <c r="F20" s="3" t="n">
        <v>0</v>
      </c>
      <c r="G20" t="n">
        <v>3</v>
      </c>
      <c r="H20" t="n">
        <v>1</v>
      </c>
      <c r="I20" s="4" t="n">
        <v>1134</v>
      </c>
      <c r="J20" t="inlineStr">
        <is>
          <t>No</t>
        </is>
      </c>
      <c r="K20" t="inlineStr">
        <is>
          <t>0 spaces</t>
        </is>
      </c>
      <c r="L20" s="3">
        <f>Assumptions!B3</f>
        <v/>
      </c>
      <c r="M20" s="3">
        <f>E20-L20</f>
        <v/>
      </c>
      <c r="N20" s="3">
        <f>-PMT(Assumptions!B2/12,Assumptions!B4*12,M20)</f>
        <v/>
      </c>
      <c r="O20" s="3">
        <f>E20*Assumptions!B5/12</f>
        <v/>
      </c>
      <c r="P20" s="3">
        <f>Assumptions!B6</f>
        <v/>
      </c>
      <c r="Q20" s="3">
        <f>Assumptions!B7+Assumptions!B8</f>
        <v/>
      </c>
      <c r="R20" s="3">
        <f>N20+F20+O20+P20+Q20</f>
        <v/>
      </c>
      <c r="S20" s="3" t="n">
        <v>1170</v>
      </c>
      <c r="T20" s="3">
        <f>R20-S20*MAX(IFERROR(G20-1,0),0)</f>
        <v/>
      </c>
      <c r="U20" t="n">
        <v>4</v>
      </c>
      <c r="V20" t="n">
        <v>20.1</v>
      </c>
      <c r="W20" t="n">
        <v>24.2</v>
      </c>
      <c r="X20" s="8">
        <f>(IF(E20="",2,IF(E20&lt;=400000,3,IF(E20&gt;=500000,1,2))))*0.1+(IF(OR(G20="",G20=0),2,IF((E20/G20)&lt;=200000,3,IF((E20/G20)&gt;=300000,1,2))))*0.1+(IF(F20="",2,IF(F20&lt;=200,3,IF(F20&gt;=400,1,2))))*0.1+(IF(T20="",2,IF(T20&lt;=2000,3,IF(T20&gt;=3000,1,2))))*0.2+(IF(V20="",2,IF(V20&lt;=15,3,IF(V20&gt;=30,1,2))))*0.15+(IF(W20="",2,IF(W20&lt;=15,3,IF(W20&gt;=25,1,2))))*0.1+(IF(U20="",2,IF(U20&lt;=5,3,IF(U20&gt;=15,1,2))))*0.1+(IF(J20="Yes",3,IF(J20="No",1,2)))*0.05+(IF(OR(K20="",UPPER(TRIM(K20))="UNKNOWN"),2,IF(OR(UPPER(TRIM(K20))="NONE",ISNUMBER(SEARCH("no parking",K20))),1,3)))*0.05+(IF(AND(ISNUMBER(I20),I20&gt;=900),3,IF(AND(ISNUMBER(G20),G20&gt;=2),3,IF(AND(ISNUMBER(I20),I20&gt;=700),2,IF(AND(ISNUMBER(I20),I20&lt;700),1,2)))))*0.05</f>
        <v/>
      </c>
      <c r="Y20">
        <f>IF(X20&gt;=2.3,"Green",IF(X20&gt;=1.7,"Yellow","Red"))</f>
        <v/>
      </c>
    </row>
    <row r="21">
      <c r="A21" s="5" t="inlineStr">
        <is>
          <t>217-221 Highland Ave #2, Malden, MA 02148</t>
        </is>
      </c>
      <c r="B21" t="inlineStr">
        <is>
          <t>Malden</t>
        </is>
      </c>
      <c r="C21" s="6" t="inlineStr">
        <is>
          <t>https://www.redfin.com/MA/Malden/217-Highland-Ave-02148/unit-2/home/137151214</t>
        </is>
      </c>
      <c r="D21" s="7" t="inlineStr">
        <is>
          <t>2025-06-17</t>
        </is>
      </c>
      <c r="E21" s="3" t="n">
        <v>499800</v>
      </c>
      <c r="F21" s="3" t="n">
        <v>390</v>
      </c>
      <c r="G21" t="n">
        <v>3</v>
      </c>
      <c r="H21" t="n">
        <v>1.5</v>
      </c>
      <c r="I21" s="4" t="n">
        <v>1483</v>
      </c>
      <c r="J21" t="inlineStr">
        <is>
          <t>No</t>
        </is>
      </c>
      <c r="K21" t="inlineStr">
        <is>
          <t>2 spaces</t>
        </is>
      </c>
      <c r="L21" s="3">
        <f>Assumptions!B3</f>
        <v/>
      </c>
      <c r="M21" s="3">
        <f>E21-L21</f>
        <v/>
      </c>
      <c r="N21" s="3">
        <f>-PMT(Assumptions!B2/12,Assumptions!B4*12,M21)</f>
        <v/>
      </c>
      <c r="O21" s="3">
        <f>E21*Assumptions!B5/12</f>
        <v/>
      </c>
      <c r="P21" s="3">
        <f>Assumptions!B6</f>
        <v/>
      </c>
      <c r="Q21" s="3">
        <f>Assumptions!B7+Assumptions!B8</f>
        <v/>
      </c>
      <c r="R21" s="3">
        <f>N21+F21+O21+P21+Q21</f>
        <v/>
      </c>
      <c r="S21" s="3" t="n">
        <v>1202</v>
      </c>
      <c r="T21" s="3">
        <f>R21-S21*MAX(IFERROR(G21-1,0),0)</f>
        <v/>
      </c>
      <c r="U21" t="n">
        <v>2</v>
      </c>
      <c r="V21" t="n">
        <v>11.2</v>
      </c>
      <c r="W21" t="n">
        <v>9.800000000000001</v>
      </c>
      <c r="X21" s="8">
        <f>(IF(E21="",2,IF(E21&lt;=400000,3,IF(E21&gt;=500000,1,2))))*0.1+(IF(OR(G21="",G21=0),2,IF((E21/G21)&lt;=200000,3,IF((E21/G21)&gt;=300000,1,2))))*0.1+(IF(F21="",2,IF(F21&lt;=200,3,IF(F21&gt;=400,1,2))))*0.1+(IF(T21="",2,IF(T21&lt;=2000,3,IF(T21&gt;=3000,1,2))))*0.2+(IF(V21="",2,IF(V21&lt;=15,3,IF(V21&gt;=30,1,2))))*0.15+(IF(W21="",2,IF(W21&lt;=15,3,IF(W21&gt;=25,1,2))))*0.1+(IF(U21="",2,IF(U21&lt;=5,3,IF(U21&gt;=15,1,2))))*0.1+(IF(J21="Yes",3,IF(J21="No",1,2)))*0.05+(IF(OR(K21="",UPPER(TRIM(K21))="UNKNOWN"),2,IF(OR(UPPER(TRIM(K21))="NONE",ISNUMBER(SEARCH("no parking",K21))),1,3)))*0.05+(IF(AND(ISNUMBER(I21),I21&gt;=900),3,IF(AND(ISNUMBER(G21),G21&gt;=2),3,IF(AND(ISNUMBER(I21),I21&gt;=700),2,IF(AND(ISNUMBER(I21),I21&lt;700),1,2)))))*0.05</f>
        <v/>
      </c>
      <c r="Y21">
        <f>IF(X21&gt;=2.3,"Green",IF(X21&gt;=1.7,"Yellow","Red"))</f>
        <v/>
      </c>
    </row>
    <row r="22">
      <c r="A22" s="5" t="inlineStr">
        <is>
          <t>10 Scottfield Rd Unit F2, Allston, MA 02134</t>
        </is>
      </c>
      <c r="B22" t="inlineStr">
        <is>
          <t>Allston</t>
        </is>
      </c>
      <c r="C22" s="6" t="inlineStr">
        <is>
          <t>https://www.redfin.com/MA/Allston/10-Scottfield-Rd-02134/unit-F2/home/201533574</t>
        </is>
      </c>
      <c r="D22" s="7" t="inlineStr">
        <is>
          <t>2026-04-22</t>
        </is>
      </c>
      <c r="E22" s="3" t="n">
        <v>430000</v>
      </c>
      <c r="F22" s="3" t="n">
        <v>408</v>
      </c>
      <c r="G22" t="n">
        <v>2</v>
      </c>
      <c r="H22" t="n">
        <v>1</v>
      </c>
      <c r="I22" s="4" t="n">
        <v>746</v>
      </c>
      <c r="J22" t="inlineStr">
        <is>
          <t>No</t>
        </is>
      </c>
      <c r="K22" t="inlineStr">
        <is>
          <t>0 spaces</t>
        </is>
      </c>
      <c r="L22" s="3">
        <f>Assumptions!B3</f>
        <v/>
      </c>
      <c r="M22" s="3">
        <f>E22-L22</f>
        <v/>
      </c>
      <c r="N22" s="3">
        <f>-PMT(Assumptions!B2/12,Assumptions!B4*12,M22)</f>
        <v/>
      </c>
      <c r="O22" s="3">
        <f>E22*Assumptions!B5/12</f>
        <v/>
      </c>
      <c r="P22" s="3">
        <f>Assumptions!B6</f>
        <v/>
      </c>
      <c r="Q22" s="3">
        <f>Assumptions!B7+Assumptions!B8</f>
        <v/>
      </c>
      <c r="R22" s="3">
        <f>N22+F22+O22+P22+Q22</f>
        <v/>
      </c>
      <c r="S22" s="3" t="n">
        <v>1235</v>
      </c>
      <c r="T22" s="3">
        <f>R22-S22*MAX(IFERROR(G22-1,0),0)</f>
        <v/>
      </c>
      <c r="U22" t="n">
        <v>2</v>
      </c>
      <c r="V22" t="n">
        <v>12.2</v>
      </c>
      <c r="W22" t="n">
        <v>11.8</v>
      </c>
      <c r="X22" s="8">
        <f>(IF(E22="",2,IF(E22&lt;=400000,3,IF(E22&gt;=500000,1,2))))*0.1+(IF(OR(G22="",G22=0),2,IF((E22/G22)&lt;=200000,3,IF((E22/G22)&gt;=300000,1,2))))*0.1+(IF(F22="",2,IF(F22&lt;=200,3,IF(F22&gt;=400,1,2))))*0.1+(IF(T22="",2,IF(T22&lt;=2000,3,IF(T22&gt;=3000,1,2))))*0.2+(IF(V22="",2,IF(V22&lt;=15,3,IF(V22&gt;=30,1,2))))*0.15+(IF(W22="",2,IF(W22&lt;=15,3,IF(W22&gt;=25,1,2))))*0.1+(IF(U22="",2,IF(U22&lt;=5,3,IF(U22&gt;=15,1,2))))*0.1+(IF(J22="Yes",3,IF(J22="No",1,2)))*0.05+(IF(OR(K22="",UPPER(TRIM(K22))="UNKNOWN"),2,IF(OR(UPPER(TRIM(K22))="NONE",ISNUMBER(SEARCH("no parking",K22))),1,3)))*0.05+(IF(AND(ISNUMBER(I22),I22&gt;=900),3,IF(AND(ISNUMBER(G22),G22&gt;=2),3,IF(AND(ISNUMBER(I22),I22&gt;=700),2,IF(AND(ISNUMBER(I22),I22&lt;700),1,2)))))*0.05</f>
        <v/>
      </c>
      <c r="Y22">
        <f>IF(X22&gt;=2.3,"Green",IF(X22&gt;=1.7,"Yellow","Red"))</f>
        <v/>
      </c>
    </row>
    <row r="23">
      <c r="A23" s="5" t="inlineStr">
        <is>
          <t>12 Knowlton St Unit 12A, Somerville, MA 02145</t>
        </is>
      </c>
      <c r="B23" t="inlineStr">
        <is>
          <t>Somerville</t>
        </is>
      </c>
      <c r="C23" s="6" t="inlineStr">
        <is>
          <t>https://www.redfin.com/MA/Somerville/12-Knowlton-St-02145/unit-12A/home/12403816</t>
        </is>
      </c>
      <c r="D23" s="7" t="inlineStr">
        <is>
          <t>2026-04-15</t>
        </is>
      </c>
      <c r="E23" s="3" t="n">
        <v>585000</v>
      </c>
      <c r="F23" s="3" t="n">
        <v>400</v>
      </c>
      <c r="G23" t="n">
        <v>3</v>
      </c>
      <c r="H23" t="n">
        <v>1</v>
      </c>
      <c r="I23" s="4" t="n">
        <v>861</v>
      </c>
      <c r="J23" t="inlineStr">
        <is>
          <t>No</t>
        </is>
      </c>
      <c r="K23" t="inlineStr">
        <is>
          <t>1 space</t>
        </is>
      </c>
      <c r="L23" s="3">
        <f>Assumptions!B3</f>
        <v/>
      </c>
      <c r="M23" s="3">
        <f>E23-L23</f>
        <v/>
      </c>
      <c r="N23" s="3">
        <f>-PMT(Assumptions!B2/12,Assumptions!B4*12,M23)</f>
        <v/>
      </c>
      <c r="O23" s="3">
        <f>E23*Assumptions!B5/12</f>
        <v/>
      </c>
      <c r="P23" s="3">
        <f>Assumptions!B6</f>
        <v/>
      </c>
      <c r="Q23" s="3">
        <f>Assumptions!B7+Assumptions!B8</f>
        <v/>
      </c>
      <c r="R23" s="3">
        <f>N23+F23+O23+P23+Q23</f>
        <v/>
      </c>
      <c r="S23" s="3" t="n">
        <v>1495</v>
      </c>
      <c r="T23" s="3">
        <f>R23-S23*MAX(IFERROR(G23-1,0),0)</f>
        <v/>
      </c>
      <c r="U23" t="n">
        <v>0.9</v>
      </c>
      <c r="V23" t="n">
        <v>9.199999999999999</v>
      </c>
      <c r="W23" t="n">
        <v>4.9</v>
      </c>
      <c r="X23" s="8">
        <f>(IF(E23="",2,IF(E23&lt;=400000,3,IF(E23&gt;=500000,1,2))))*0.1+(IF(OR(G23="",G23=0),2,IF((E23/G23)&lt;=200000,3,IF((E23/G23)&gt;=300000,1,2))))*0.1+(IF(F23="",2,IF(F23&lt;=200,3,IF(F23&gt;=400,1,2))))*0.1+(IF(T23="",2,IF(T23&lt;=2000,3,IF(T23&gt;=3000,1,2))))*0.2+(IF(V23="",2,IF(V23&lt;=15,3,IF(V23&gt;=30,1,2))))*0.15+(IF(W23="",2,IF(W23&lt;=15,3,IF(W23&gt;=25,1,2))))*0.1+(IF(U23="",2,IF(U23&lt;=5,3,IF(U23&gt;=15,1,2))))*0.1+(IF(J23="Yes",3,IF(J23="No",1,2)))*0.05+(IF(OR(K23="",UPPER(TRIM(K23))="UNKNOWN"),2,IF(OR(UPPER(TRIM(K23))="NONE",ISNUMBER(SEARCH("no parking",K23))),1,3)))*0.05+(IF(AND(ISNUMBER(I23),I23&gt;=900),3,IF(AND(ISNUMBER(G23),G23&gt;=2),3,IF(AND(ISNUMBER(I23),I23&gt;=700),2,IF(AND(ISNUMBER(I23),I23&lt;700),1,2)))))*0.05</f>
        <v/>
      </c>
      <c r="Y23">
        <f>IF(X23&gt;=2.3,"Green",IF(X23&gt;=1.7,"Yellow","Red"))</f>
        <v/>
      </c>
    </row>
    <row r="24">
      <c r="A24" s="5" t="inlineStr">
        <is>
          <t>32 Almont St Unit 32-1, Medford, MA 02155</t>
        </is>
      </c>
      <c r="B24" t="inlineStr">
        <is>
          <t>Medford</t>
        </is>
      </c>
      <c r="C24" s="6" t="inlineStr">
        <is>
          <t>https://www.redfin.com/MA/Medford/32-Almont-St-02155/unit-32-1/home/11802621</t>
        </is>
      </c>
      <c r="D24" s="7" t="inlineStr">
        <is>
          <t>2026-05-01</t>
        </is>
      </c>
      <c r="E24" s="3" t="n">
        <v>310000</v>
      </c>
      <c r="F24" s="3" t="n">
        <v>291</v>
      </c>
      <c r="G24" t="n">
        <v>1</v>
      </c>
      <c r="H24" t="n">
        <v>1</v>
      </c>
      <c r="I24" s="4" t="n">
        <v>528</v>
      </c>
      <c r="J24" t="inlineStr">
        <is>
          <t>No</t>
        </is>
      </c>
      <c r="K24" t="inlineStr">
        <is>
          <t>0 spaces</t>
        </is>
      </c>
      <c r="L24" s="3">
        <f>Assumptions!B3</f>
        <v/>
      </c>
      <c r="M24" s="3">
        <f>E24-L24</f>
        <v/>
      </c>
      <c r="N24" s="3">
        <f>-PMT(Assumptions!B2/12,Assumptions!B4*12,M24)</f>
        <v/>
      </c>
      <c r="O24" s="3">
        <f>E24*Assumptions!B5/12</f>
        <v/>
      </c>
      <c r="P24" s="3">
        <f>Assumptions!B6</f>
        <v/>
      </c>
      <c r="Q24" s="3">
        <f>Assumptions!B7+Assumptions!B8</f>
        <v/>
      </c>
      <c r="R24" s="3">
        <f>N24+F24+O24+P24+Q24</f>
        <v/>
      </c>
      <c r="S24" s="3" t="n">
        <v>0</v>
      </c>
      <c r="T24" s="3">
        <f>R24-S24*MAX(IFERROR(G24-1,0),0)</f>
        <v/>
      </c>
      <c r="U24" t="n">
        <v>3.4</v>
      </c>
      <c r="V24" t="n">
        <v>11.4</v>
      </c>
      <c r="W24" t="n">
        <v>11.2</v>
      </c>
      <c r="X24" s="8">
        <f>(IF(E24="",2,IF(E24&lt;=400000,3,IF(E24&gt;=500000,1,2))))*0.1+(IF(OR(G24="",G24=0),2,IF((E24/G24)&lt;=200000,3,IF((E24/G24)&gt;=300000,1,2))))*0.1+(IF(F24="",2,IF(F24&lt;=200,3,IF(F24&gt;=400,1,2))))*0.1+(IF(T24="",2,IF(T24&lt;=2000,3,IF(T24&gt;=3000,1,2))))*0.2+(IF(V24="",2,IF(V24&lt;=15,3,IF(V24&gt;=30,1,2))))*0.15+(IF(W24="",2,IF(W24&lt;=15,3,IF(W24&gt;=25,1,2))))*0.1+(IF(U24="",2,IF(U24&lt;=5,3,IF(U24&gt;=15,1,2))))*0.1+(IF(J24="Yes",3,IF(J24="No",1,2)))*0.05+(IF(OR(K24="",UPPER(TRIM(K24))="UNKNOWN"),2,IF(OR(UPPER(TRIM(K24))="NONE",ISNUMBER(SEARCH("no parking",K24))),1,3)))*0.05+(IF(AND(ISNUMBER(I24),I24&gt;=900),3,IF(AND(ISNUMBER(G24),G24&gt;=2),3,IF(AND(ISNUMBER(I24),I24&gt;=700),2,IF(AND(ISNUMBER(I24),I24&lt;700),1,2)))))*0.05</f>
        <v/>
      </c>
      <c r="Y24">
        <f>IF(X24&gt;=2.3,"Green",IF(X24&gt;=1.7,"Yellow","Red"))</f>
        <v/>
      </c>
    </row>
    <row r="25">
      <c r="A25" s="5" t="inlineStr">
        <is>
          <t>22 Davis St, Malden, MA 02148</t>
        </is>
      </c>
      <c r="B25" t="inlineStr">
        <is>
          <t>Malden</t>
        </is>
      </c>
      <c r="C25" s="6" t="inlineStr">
        <is>
          <t>https://www.redfin.com/MA/Malden/22-Davis-St-02148/home/11425836</t>
        </is>
      </c>
      <c r="D25" s="7" t="inlineStr">
        <is>
          <t>2026-05-07</t>
        </is>
      </c>
      <c r="E25" s="3" t="n">
        <v>525000</v>
      </c>
      <c r="F25" s="3" t="n">
        <v>0</v>
      </c>
      <c r="G25" t="n">
        <v>2</v>
      </c>
      <c r="H25" t="n">
        <v>1.5</v>
      </c>
      <c r="I25" s="4" t="n">
        <v>1370</v>
      </c>
      <c r="J25" t="inlineStr">
        <is>
          <t>No</t>
        </is>
      </c>
      <c r="K25" t="inlineStr">
        <is>
          <t>4 spaces</t>
        </is>
      </c>
      <c r="L25" s="3">
        <f>Assumptions!B3</f>
        <v/>
      </c>
      <c r="M25" s="3">
        <f>E25-L25</f>
        <v/>
      </c>
      <c r="N25" s="3">
        <f>-PMT(Assumptions!B2/12,Assumptions!B4*12,M25)</f>
        <v/>
      </c>
      <c r="O25" s="3">
        <f>E25*Assumptions!B5/12</f>
        <v/>
      </c>
      <c r="P25" s="3">
        <f>Assumptions!B6</f>
        <v/>
      </c>
      <c r="Q25" s="3">
        <f>Assumptions!B7+Assumptions!B8</f>
        <v/>
      </c>
      <c r="R25" s="3">
        <f>N25+F25+O25+P25+Q25</f>
        <v/>
      </c>
      <c r="S25" s="3" t="n">
        <v>1202</v>
      </c>
      <c r="T25" s="3">
        <f>R25-S25*MAX(IFERROR(G25-1,0),0)</f>
        <v/>
      </c>
      <c r="U25" t="n">
        <v>5.4</v>
      </c>
      <c r="V25" t="n">
        <v>13.9</v>
      </c>
      <c r="W25" t="n">
        <v>12.4</v>
      </c>
      <c r="X25" s="8">
        <f>(IF(E25="",2,IF(E25&lt;=400000,3,IF(E25&gt;=500000,1,2))))*0.1+(IF(OR(G25="",G25=0),2,IF((E25/G25)&lt;=200000,3,IF((E25/G25)&gt;=300000,1,2))))*0.1+(IF(F25="",2,IF(F25&lt;=200,3,IF(F25&gt;=400,1,2))))*0.1+(IF(T25="",2,IF(T25&lt;=2000,3,IF(T25&gt;=3000,1,2))))*0.2+(IF(V25="",2,IF(V25&lt;=15,3,IF(V25&gt;=30,1,2))))*0.15+(IF(W25="",2,IF(W25&lt;=15,3,IF(W25&gt;=25,1,2))))*0.1+(IF(U25="",2,IF(U25&lt;=5,3,IF(U25&gt;=15,1,2))))*0.1+(IF(J25="Yes",3,IF(J25="No",1,2)))*0.05+(IF(OR(K25="",UPPER(TRIM(K25))="UNKNOWN"),2,IF(OR(UPPER(TRIM(K25))="NONE",ISNUMBER(SEARCH("no parking",K25))),1,3)))*0.05+(IF(AND(ISNUMBER(I25),I25&gt;=900),3,IF(AND(ISNUMBER(G25),G25&gt;=2),3,IF(AND(ISNUMBER(I25),I25&gt;=700),2,IF(AND(ISNUMBER(I25),I25&lt;700),1,2)))))*0.05</f>
        <v/>
      </c>
      <c r="Y25">
        <f>IF(X25&gt;=2.3,"Green",IF(X25&gt;=1.7,"Yellow","Red"))</f>
        <v/>
      </c>
    </row>
    <row r="26">
      <c r="A26" s="5" t="inlineStr">
        <is>
          <t>18 Allerton St, Quincy, MA 02169</t>
        </is>
      </c>
      <c r="B26" t="inlineStr">
        <is>
          <t>Quincy</t>
        </is>
      </c>
      <c r="C26" s="6" t="inlineStr">
        <is>
          <t>https://www.redfin.com/MA/Quincy/18-Allerton-St-02169/home/110011603</t>
        </is>
      </c>
      <c r="D26" s="7" t="n"/>
      <c r="E26" s="3" t="n">
        <v>200000</v>
      </c>
      <c r="F26" s="3" t="n">
        <v>0</v>
      </c>
      <c r="I26" s="4" t="n"/>
      <c r="J26" t="inlineStr">
        <is>
          <t>No</t>
        </is>
      </c>
      <c r="K26" t="inlineStr">
        <is>
          <t>Unknown</t>
        </is>
      </c>
      <c r="L26" s="3">
        <f>Assumptions!B3</f>
        <v/>
      </c>
      <c r="M26" s="3">
        <f>E26-L26</f>
        <v/>
      </c>
      <c r="N26" s="3">
        <f>-PMT(Assumptions!B2/12,Assumptions!B4*12,M26)</f>
        <v/>
      </c>
      <c r="O26" s="3">
        <f>E26*Assumptions!B5/12</f>
        <v/>
      </c>
      <c r="P26" s="3">
        <f>Assumptions!B6</f>
        <v/>
      </c>
      <c r="Q26" s="3">
        <f>Assumptions!B7+Assumptions!B8</f>
        <v/>
      </c>
      <c r="R26" s="3">
        <f>N26+F26+O26+P26+Q26</f>
        <v/>
      </c>
      <c r="S26" s="3" t="n">
        <v>0</v>
      </c>
      <c r="T26" s="3">
        <f>R26-S26*MAX(IFERROR(G26-1,0),0)</f>
        <v/>
      </c>
      <c r="U26" t="n">
        <v>8.4</v>
      </c>
      <c r="V26" t="n">
        <v>23.3</v>
      </c>
      <c r="W26" t="n">
        <v>27.4</v>
      </c>
      <c r="X26" s="8">
        <f>(IF(E26="",2,IF(E26&lt;=400000,3,IF(E26&gt;=500000,1,2))))*0.1+(IF(OR(G26="",G26=0),2,IF((E26/G26)&lt;=200000,3,IF((E26/G26)&gt;=300000,1,2))))*0.1+(IF(F26="",2,IF(F26&lt;=200,3,IF(F26&gt;=400,1,2))))*0.1+(IF(T26="",2,IF(T26&lt;=2000,3,IF(T26&gt;=3000,1,2))))*0.2+(IF(V26="",2,IF(V26&lt;=15,3,IF(V26&gt;=30,1,2))))*0.15+(IF(W26="",2,IF(W26&lt;=15,3,IF(W26&gt;=25,1,2))))*0.1+(IF(U26="",2,IF(U26&lt;=5,3,IF(U26&gt;=15,1,2))))*0.1+(IF(J26="Yes",3,IF(J26="No",1,2)))*0.05+(IF(OR(K26="",UPPER(TRIM(K26))="UNKNOWN"),2,IF(OR(UPPER(TRIM(K26))="NONE",ISNUMBER(SEARCH("no parking",K26))),1,3)))*0.05+(IF(AND(ISNUMBER(I26),I26&gt;=900),3,IF(AND(ISNUMBER(G26),G26&gt;=2),3,IF(AND(ISNUMBER(I26),I26&gt;=700),2,IF(AND(ISNUMBER(I26),I26&lt;700),1,2)))))*0.05</f>
        <v/>
      </c>
      <c r="Y26">
        <f>IF(X26&gt;=2.3,"Green",IF(X26&gt;=1.7,"Yellow","Red"))</f>
        <v/>
      </c>
    </row>
    <row r="27">
      <c r="A27" s="9" t="inlineStr">
        <is>
          <t>12 Gaston St, Medford, MA 02155</t>
        </is>
      </c>
      <c r="B27" t="inlineStr">
        <is>
          <t>Medford</t>
        </is>
      </c>
      <c r="C27" s="6" t="inlineStr">
        <is>
          <t>https://www.redfin.com/MA/Medford/12-Gaston-St-02155/home/11778344</t>
        </is>
      </c>
      <c r="D27" s="7" t="n"/>
      <c r="E27" s="3" t="n">
        <v>375000</v>
      </c>
      <c r="F27" s="3" t="n">
        <v>0</v>
      </c>
      <c r="I27" s="4" t="n"/>
      <c r="J27" t="inlineStr">
        <is>
          <t>No</t>
        </is>
      </c>
      <c r="K27" t="inlineStr">
        <is>
          <t>Unknown</t>
        </is>
      </c>
      <c r="L27" s="3">
        <f>Assumptions!B3</f>
        <v/>
      </c>
      <c r="M27" s="3">
        <f>E27-L27</f>
        <v/>
      </c>
      <c r="N27" s="3">
        <f>-PMT(Assumptions!B2/12,Assumptions!B4*12,M27)</f>
        <v/>
      </c>
      <c r="O27" s="3">
        <f>E27*Assumptions!B5/12</f>
        <v/>
      </c>
      <c r="P27" s="3">
        <f>Assumptions!B6</f>
        <v/>
      </c>
      <c r="Q27" s="3">
        <f>Assumptions!B7+Assumptions!B8</f>
        <v/>
      </c>
      <c r="R27" s="3">
        <f>N27+F27+O27+P27+Q27</f>
        <v/>
      </c>
      <c r="S27" s="3" t="n">
        <v>0</v>
      </c>
      <c r="T27" s="3">
        <f>R27-S27*MAX(IFERROR(G27-1,0),0)</f>
        <v/>
      </c>
      <c r="U27" t="n">
        <v>5.4</v>
      </c>
      <c r="V27" t="n">
        <v>12.3</v>
      </c>
      <c r="W27" t="n">
        <v>12.5</v>
      </c>
      <c r="X27" s="8">
        <f>(IF(E27="",2,IF(E27&lt;=400000,3,IF(E27&gt;=500000,1,2))))*0.1+(IF(OR(G27="",G27=0),2,IF((E27/G27)&lt;=200000,3,IF((E27/G27)&gt;=300000,1,2))))*0.1+(IF(F27="",2,IF(F27&lt;=200,3,IF(F27&gt;=400,1,2))))*0.1+(IF(T27="",2,IF(T27&lt;=2000,3,IF(T27&gt;=3000,1,2))))*0.2+(IF(V27="",2,IF(V27&lt;=15,3,IF(V27&gt;=30,1,2))))*0.15+(IF(W27="",2,IF(W27&lt;=15,3,IF(W27&gt;=25,1,2))))*0.1+(IF(U27="",2,IF(U27&lt;=5,3,IF(U27&gt;=15,1,2))))*0.1+(IF(J27="Yes",3,IF(J27="No",1,2)))*0.05+(IF(OR(K27="",UPPER(TRIM(K27))="UNKNOWN"),2,IF(OR(UPPER(TRIM(K27))="NONE",ISNUMBER(SEARCH("no parking",K27))),1,3)))*0.05+(IF(AND(ISNUMBER(I27),I27&gt;=900),3,IF(AND(ISNUMBER(G27),G27&gt;=2),3,IF(AND(ISNUMBER(I27),I27&gt;=700),2,IF(AND(ISNUMBER(I27),I27&lt;700),1,2)))))*0.05</f>
        <v/>
      </c>
      <c r="Y27">
        <f>IF(X27&gt;=2.3,"Green",IF(X27&gt;=1.7,"Yellow","Red"))</f>
        <v/>
      </c>
    </row>
    <row r="28">
      <c r="A28" s="9" t="inlineStr">
        <is>
          <t>69A Strathmore St Unit 69A, Boston, MA 02135</t>
        </is>
      </c>
      <c r="B28" t="inlineStr">
        <is>
          <t>Brighton</t>
        </is>
      </c>
      <c r="C28" s="6" t="inlineStr">
        <is>
          <t>https://www.redfin.com/MA/Boston/69-Strathmore-Rd-02135/unit-69A/home/200893159</t>
        </is>
      </c>
      <c r="D28" s="7" t="n"/>
      <c r="E28" s="3" t="n">
        <v>489000</v>
      </c>
      <c r="F28" s="3" t="n">
        <v>373</v>
      </c>
      <c r="G28" t="n">
        <v>2</v>
      </c>
      <c r="H28" t="n">
        <v>1</v>
      </c>
      <c r="I28" s="4" t="n">
        <v>638</v>
      </c>
      <c r="J28" t="inlineStr">
        <is>
          <t>No</t>
        </is>
      </c>
      <c r="K28" t="inlineStr">
        <is>
          <t>0 spaces</t>
        </is>
      </c>
      <c r="L28" s="3">
        <f>Assumptions!B3</f>
        <v/>
      </c>
      <c r="M28" s="3">
        <f>E28-L28</f>
        <v/>
      </c>
      <c r="N28" s="3">
        <f>-PMT(Assumptions!B2/12,Assumptions!B4*12,M28)</f>
        <v/>
      </c>
      <c r="O28" s="3">
        <f>E28*Assumptions!B5/12</f>
        <v/>
      </c>
      <c r="P28" s="3">
        <f>Assumptions!B6</f>
        <v/>
      </c>
      <c r="Q28" s="3">
        <f>Assumptions!B7+Assumptions!B8</f>
        <v/>
      </c>
      <c r="R28" s="3">
        <f>N28+F28+O28+P28+Q28</f>
        <v/>
      </c>
      <c r="S28" s="3" t="n">
        <v>1300</v>
      </c>
      <c r="T28" s="3">
        <f>R28-S28*MAX(IFERROR(G28-1,0),0)</f>
        <v/>
      </c>
      <c r="U28" t="n">
        <v>0.6</v>
      </c>
      <c r="V28" t="n">
        <v>16</v>
      </c>
      <c r="W28" t="n">
        <v>13.4</v>
      </c>
      <c r="X28" s="8">
        <f>(IF(E28="",2,IF(E28&lt;=400000,3,IF(E28&gt;=500000,1,2))))*0.1+(IF(OR(G28="",G28=0),2,IF((E28/G28)&lt;=200000,3,IF((E28/G28)&gt;=300000,1,2))))*0.1+(IF(F28="",2,IF(F28&lt;=200,3,IF(F28&gt;=400,1,2))))*0.1+(IF(T28="",2,IF(T28&lt;=2000,3,IF(T28&gt;=3000,1,2))))*0.2+(IF(V28="",2,IF(V28&lt;=15,3,IF(V28&gt;=30,1,2))))*0.15+(IF(W28="",2,IF(W28&lt;=15,3,IF(W28&gt;=25,1,2))))*0.1+(IF(U28="",2,IF(U28&lt;=5,3,IF(U28&gt;=15,1,2))))*0.1+(IF(J28="Yes",3,IF(J28="No",1,2)))*0.05+(IF(OR(K28="",UPPER(TRIM(K28))="UNKNOWN"),2,IF(OR(UPPER(TRIM(K28))="NONE",ISNUMBER(SEARCH("no parking",K28))),1,3)))*0.05+(IF(AND(ISNUMBER(I28),I28&gt;=900),3,IF(AND(ISNUMBER(G28),G28&gt;=2),3,IF(AND(ISNUMBER(I28),I28&gt;=700),2,IF(AND(ISNUMBER(I28),I28&lt;700),1,2)))))*0.05</f>
        <v/>
      </c>
      <c r="Y28">
        <f>IF(X28&gt;=2.3,"Green",IF(X28&gt;=1.7,"Yellow","Red"))</f>
        <v/>
      </c>
    </row>
    <row r="29">
      <c r="A29" s="9" t="inlineStr">
        <is>
          <t>317 Allston St #5, Brighton, MA 02135</t>
        </is>
      </c>
      <c r="B29" t="inlineStr">
        <is>
          <t>Brighton</t>
        </is>
      </c>
      <c r="C29" s="6" t="inlineStr">
        <is>
          <t>https://www.redfin.com/MA/Brighton/317-Allston-St-02135/unit-5/home/11833307</t>
        </is>
      </c>
      <c r="D29" s="7" t="inlineStr">
        <is>
          <t>2026-04-29</t>
        </is>
      </c>
      <c r="E29" s="3" t="n">
        <v>350000</v>
      </c>
      <c r="F29" s="3" t="n">
        <v>369</v>
      </c>
      <c r="G29" t="n">
        <v>0</v>
      </c>
      <c r="H29" t="n">
        <v>1</v>
      </c>
      <c r="I29" s="4" t="n">
        <v>306</v>
      </c>
      <c r="J29" t="inlineStr">
        <is>
          <t>No</t>
        </is>
      </c>
      <c r="K29" t="inlineStr">
        <is>
          <t>0 spaces</t>
        </is>
      </c>
      <c r="L29" s="3">
        <f>Assumptions!B3</f>
        <v/>
      </c>
      <c r="M29" s="3">
        <f>E29-L29</f>
        <v/>
      </c>
      <c r="N29" s="3">
        <f>-PMT(Assumptions!B2/12,Assumptions!B4*12,M29)</f>
        <v/>
      </c>
      <c r="O29" s="3">
        <f>E29*Assumptions!B5/12</f>
        <v/>
      </c>
      <c r="P29" s="3">
        <f>Assumptions!B6</f>
        <v/>
      </c>
      <c r="Q29" s="3">
        <f>Assumptions!B7+Assumptions!B8</f>
        <v/>
      </c>
      <c r="R29" s="3">
        <f>N29+F29+O29+P29+Q29</f>
        <v/>
      </c>
      <c r="S29" s="3" t="n">
        <v>0</v>
      </c>
      <c r="T29" s="3">
        <f>R29-S29*MAX(IFERROR(G29-1,0),0)</f>
        <v/>
      </c>
      <c r="U29" t="n">
        <v>1.1</v>
      </c>
      <c r="V29" t="n">
        <v>13.2</v>
      </c>
      <c r="W29" t="n">
        <v>12.8</v>
      </c>
      <c r="X29" s="8">
        <f>(IF(E29="",2,IF(E29&lt;=400000,3,IF(E29&gt;=500000,1,2))))*0.1+(IF(OR(G29="",G29=0),2,IF((E29/G29)&lt;=200000,3,IF((E29/G29)&gt;=300000,1,2))))*0.1+(IF(F29="",2,IF(F29&lt;=200,3,IF(F29&gt;=400,1,2))))*0.1+(IF(T29="",2,IF(T29&lt;=2000,3,IF(T29&gt;=3000,1,2))))*0.2+(IF(V29="",2,IF(V29&lt;=15,3,IF(V29&gt;=30,1,2))))*0.15+(IF(W29="",2,IF(W29&lt;=15,3,IF(W29&gt;=25,1,2))))*0.1+(IF(U29="",2,IF(U29&lt;=5,3,IF(U29&gt;=15,1,2))))*0.1+(IF(J29="Yes",3,IF(J29="No",1,2)))*0.05+(IF(OR(K29="",UPPER(TRIM(K29))="UNKNOWN"),2,IF(OR(UPPER(TRIM(K29))="NONE",ISNUMBER(SEARCH("no parking",K29))),1,3)))*0.05+(IF(AND(ISNUMBER(I29),I29&gt;=900),3,IF(AND(ISNUMBER(G29),G29&gt;=2),3,IF(AND(ISNUMBER(I29),I29&gt;=700),2,IF(AND(ISNUMBER(I29),I29&lt;700),1,2)))))*0.05</f>
        <v/>
      </c>
      <c r="Y29">
        <f>IF(X29&gt;=2.3,"Green",IF(X29&gt;=1.7,"Yellow","Red"))</f>
        <v/>
      </c>
    </row>
    <row r="30">
      <c r="A30" s="9" t="inlineStr">
        <is>
          <t>140 Huron Ave #7, Cambridge, MA 02138</t>
        </is>
      </c>
      <c r="B30" t="inlineStr">
        <is>
          <t>Cambridge</t>
        </is>
      </c>
      <c r="C30" s="6" t="inlineStr">
        <is>
          <t>https://www.redfin.com/MA/Cambridge/140-Huron-Ave-02138/unit-7/home/11600056</t>
        </is>
      </c>
      <c r="D30" s="7" t="inlineStr">
        <is>
          <t>2026-05-12</t>
        </is>
      </c>
      <c r="E30" s="3" t="n">
        <v>399900</v>
      </c>
      <c r="F30" s="3" t="n">
        <v>243</v>
      </c>
      <c r="G30" t="n">
        <v>0</v>
      </c>
      <c r="H30" t="n">
        <v>1</v>
      </c>
      <c r="I30" s="4" t="n">
        <v>379</v>
      </c>
      <c r="J30" t="inlineStr">
        <is>
          <t>No</t>
        </is>
      </c>
      <c r="K30" t="inlineStr">
        <is>
          <t>2 spaces</t>
        </is>
      </c>
      <c r="L30" s="3">
        <f>Assumptions!B3</f>
        <v/>
      </c>
      <c r="M30" s="3">
        <f>E30-L30</f>
        <v/>
      </c>
      <c r="N30" s="3">
        <f>-PMT(Assumptions!B2/12,Assumptions!B4*12,M30)</f>
        <v/>
      </c>
      <c r="O30" s="3">
        <f>E30*Assumptions!B5/12</f>
        <v/>
      </c>
      <c r="P30" s="3">
        <f>Assumptions!B6</f>
        <v/>
      </c>
      <c r="Q30" s="3">
        <f>Assumptions!B7+Assumptions!B8</f>
        <v/>
      </c>
      <c r="R30" s="3">
        <f>N30+F30+O30+P30+Q30</f>
        <v/>
      </c>
      <c r="S30" s="3" t="n">
        <v>0</v>
      </c>
      <c r="T30" s="3">
        <f>R30-S30*MAX(IFERROR(G30-1,0),0)</f>
        <v/>
      </c>
      <c r="U30" t="n">
        <v>3.5</v>
      </c>
      <c r="V30" t="n">
        <v>14.9</v>
      </c>
      <c r="W30" t="n">
        <v>10.5</v>
      </c>
      <c r="X30" s="8">
        <f>(IF(E30="",2,IF(E30&lt;=400000,3,IF(E30&gt;=500000,1,2))))*0.1+(IF(OR(G30="",G30=0),2,IF((E30/G30)&lt;=200000,3,IF((E30/G30)&gt;=300000,1,2))))*0.1+(IF(F30="",2,IF(F30&lt;=200,3,IF(F30&gt;=400,1,2))))*0.1+(IF(T30="",2,IF(T30&lt;=2000,3,IF(T30&gt;=3000,1,2))))*0.2+(IF(V30="",2,IF(V30&lt;=15,3,IF(V30&gt;=30,1,2))))*0.15+(IF(W30="",2,IF(W30&lt;=15,3,IF(W30&gt;=25,1,2))))*0.1+(IF(U30="",2,IF(U30&lt;=5,3,IF(U30&gt;=15,1,2))))*0.1+(IF(J30="Yes",3,IF(J30="No",1,2)))*0.05+(IF(OR(K30="",UPPER(TRIM(K30))="UNKNOWN"),2,IF(OR(UPPER(TRIM(K30))="NONE",ISNUMBER(SEARCH("no parking",K30))),1,3)))*0.05+(IF(AND(ISNUMBER(I30),I30&gt;=900),3,IF(AND(ISNUMBER(G30),G30&gt;=2),3,IF(AND(ISNUMBER(I30),I30&gt;=700),2,IF(AND(ISNUMBER(I30),I30&lt;700),1,2)))))*0.05</f>
        <v/>
      </c>
      <c r="Y30">
        <f>IF(X30&gt;=2.3,"Green",IF(X30&gt;=1.7,"Yellow","Red"))</f>
        <v/>
      </c>
    </row>
    <row r="31">
      <c r="A31" s="9" t="inlineStr">
        <is>
          <t>1253 Beacon St Unit C3, Brookline, MA 02446</t>
        </is>
      </c>
      <c r="B31" t="inlineStr">
        <is>
          <t>Brookline</t>
        </is>
      </c>
      <c r="C31" s="6" t="inlineStr">
        <is>
          <t>https://www.redfin.com/MA/Brookline/1253-Beacon-St-02446/unit-C3/home/11466322</t>
        </is>
      </c>
      <c r="D31" s="7" t="inlineStr">
        <is>
          <t>2026-04-30</t>
        </is>
      </c>
      <c r="E31" s="3" t="n">
        <v>365000</v>
      </c>
      <c r="F31" s="3" t="n">
        <v>299</v>
      </c>
      <c r="G31" t="n">
        <v>0</v>
      </c>
      <c r="H31" t="n">
        <v>1</v>
      </c>
      <c r="I31" s="4" t="n">
        <v>308</v>
      </c>
      <c r="J31" t="inlineStr">
        <is>
          <t>No</t>
        </is>
      </c>
      <c r="K31" t="inlineStr">
        <is>
          <t>0 spaces</t>
        </is>
      </c>
      <c r="L31" s="3">
        <f>Assumptions!B3</f>
        <v/>
      </c>
      <c r="M31" s="3">
        <f>E31-L31</f>
        <v/>
      </c>
      <c r="N31" s="3">
        <f>-PMT(Assumptions!B2/12,Assumptions!B4*12,M31)</f>
        <v/>
      </c>
      <c r="O31" s="3">
        <f>E31*Assumptions!B5/12</f>
        <v/>
      </c>
      <c r="P31" s="3">
        <f>Assumptions!B6</f>
        <v/>
      </c>
      <c r="Q31" s="3">
        <f>Assumptions!B7+Assumptions!B8</f>
        <v/>
      </c>
      <c r="R31" s="3">
        <f>N31+F31+O31+P31+Q31</f>
        <v/>
      </c>
      <c r="S31" s="3" t="n">
        <v>0</v>
      </c>
      <c r="T31" s="3">
        <f>R31-S31*MAX(IFERROR(G31-1,0),0)</f>
        <v/>
      </c>
      <c r="U31" t="n">
        <v>1.3</v>
      </c>
      <c r="V31" t="n">
        <v>13.4</v>
      </c>
      <c r="W31" t="n">
        <v>10</v>
      </c>
      <c r="X31" s="8">
        <f>(IF(E31="",2,IF(E31&lt;=400000,3,IF(E31&gt;=500000,1,2))))*0.1+(IF(OR(G31="",G31=0),2,IF((E31/G31)&lt;=200000,3,IF((E31/G31)&gt;=300000,1,2))))*0.1+(IF(F31="",2,IF(F31&lt;=200,3,IF(F31&gt;=400,1,2))))*0.1+(IF(T31="",2,IF(T31&lt;=2000,3,IF(T31&gt;=3000,1,2))))*0.2+(IF(V31="",2,IF(V31&lt;=15,3,IF(V31&gt;=30,1,2))))*0.15+(IF(W31="",2,IF(W31&lt;=15,3,IF(W31&gt;=25,1,2))))*0.1+(IF(U31="",2,IF(U31&lt;=5,3,IF(U31&gt;=15,1,2))))*0.1+(IF(J31="Yes",3,IF(J31="No",1,2)))*0.05+(IF(OR(K31="",UPPER(TRIM(K31))="UNKNOWN"),2,IF(OR(UPPER(TRIM(K31))="NONE",ISNUMBER(SEARCH("no parking",K31))),1,3)))*0.05+(IF(AND(ISNUMBER(I31),I31&gt;=900),3,IF(AND(ISNUMBER(G31),G31&gt;=2),3,IF(AND(ISNUMBER(I31),I31&gt;=700),2,IF(AND(ISNUMBER(I31),I31&lt;700),1,2)))))*0.05</f>
        <v/>
      </c>
      <c r="Y31">
        <f>IF(X31&gt;=2.3,"Green",IF(X31&gt;=1.7,"Yellow","Red"))</f>
        <v/>
      </c>
    </row>
    <row r="32">
      <c r="A32" s="9" t="inlineStr">
        <is>
          <t>45 Gordon St #4, Allston, MA 02134</t>
        </is>
      </c>
      <c r="B32" t="inlineStr">
        <is>
          <t>Allston</t>
        </is>
      </c>
      <c r="C32" s="6" t="inlineStr">
        <is>
          <t>https://www.redfin.com/MA/Allston/45-Gordon-St-02134/unit-4/home/8999903</t>
        </is>
      </c>
      <c r="D32" s="7" t="n"/>
      <c r="E32" s="3" t="n">
        <v>489000</v>
      </c>
      <c r="F32" s="3" t="n">
        <v>350</v>
      </c>
      <c r="G32" t="n">
        <v>2</v>
      </c>
      <c r="H32" t="n">
        <v>1</v>
      </c>
      <c r="I32" s="4" t="n">
        <v>675</v>
      </c>
      <c r="J32" t="inlineStr">
        <is>
          <t>No</t>
        </is>
      </c>
      <c r="K32" t="inlineStr">
        <is>
          <t>0 spaces</t>
        </is>
      </c>
      <c r="L32" s="3">
        <f>Assumptions!B3</f>
        <v/>
      </c>
      <c r="M32" s="3">
        <f>E32-L32</f>
        <v/>
      </c>
      <c r="N32" s="3">
        <f>-PMT(Assumptions!B2/12,Assumptions!B4*12,M32)</f>
        <v/>
      </c>
      <c r="O32" s="3">
        <f>E32*Assumptions!B5/12</f>
        <v/>
      </c>
      <c r="P32" s="3">
        <f>Assumptions!B6</f>
        <v/>
      </c>
      <c r="Q32" s="3">
        <f>Assumptions!B7+Assumptions!B8</f>
        <v/>
      </c>
      <c r="R32" s="3">
        <f>N32+F32+O32+P32+Q32</f>
        <v/>
      </c>
      <c r="S32" s="3" t="n">
        <v>1235</v>
      </c>
      <c r="T32" s="3">
        <f>R32-S32*MAX(IFERROR(G32-1,0),0)</f>
        <v/>
      </c>
      <c r="U32" t="n">
        <v>3</v>
      </c>
      <c r="V32" t="n">
        <v>11.3</v>
      </c>
      <c r="W32" t="n">
        <v>10.9</v>
      </c>
      <c r="X32" s="8">
        <f>(IF(E32="",2,IF(E32&lt;=400000,3,IF(E32&gt;=500000,1,2))))*0.1+(IF(OR(G32="",G32=0),2,IF((E32/G32)&lt;=200000,3,IF((E32/G32)&gt;=300000,1,2))))*0.1+(IF(F32="",2,IF(F32&lt;=200,3,IF(F32&gt;=400,1,2))))*0.1+(IF(T32="",2,IF(T32&lt;=2000,3,IF(T32&gt;=3000,1,2))))*0.2+(IF(V32="",2,IF(V32&lt;=15,3,IF(V32&gt;=30,1,2))))*0.15+(IF(W32="",2,IF(W32&lt;=15,3,IF(W32&gt;=25,1,2))))*0.1+(IF(U32="",2,IF(U32&lt;=5,3,IF(U32&gt;=15,1,2))))*0.1+(IF(J32="Yes",3,IF(J32="No",1,2)))*0.05+(IF(OR(K32="",UPPER(TRIM(K32))="UNKNOWN"),2,IF(OR(UPPER(TRIM(K32))="NONE",ISNUMBER(SEARCH("no parking",K32))),1,3)))*0.05+(IF(AND(ISNUMBER(I32),I32&gt;=900),3,IF(AND(ISNUMBER(G32),G32&gt;=2),3,IF(AND(ISNUMBER(I32),I32&gt;=700),2,IF(AND(ISNUMBER(I32),I32&lt;700),1,2)))))*0.05</f>
        <v/>
      </c>
      <c r="Y32">
        <f>IF(X32&gt;=2.3,"Green",IF(X32&gt;=1.7,"Yellow","Red"))</f>
        <v/>
      </c>
    </row>
    <row r="33">
      <c r="A33" s="9" t="inlineStr">
        <is>
          <t>12-14 Shannon St #3, Brighton, MA 02135</t>
        </is>
      </c>
      <c r="B33" t="inlineStr">
        <is>
          <t>Brighton</t>
        </is>
      </c>
      <c r="C33" s="6" t="inlineStr">
        <is>
          <t>https://www.redfin.com/MA/Brighton/12-14-Shannon-St-02135/unit-3/home/11838033</t>
        </is>
      </c>
      <c r="D33" s="7" t="n"/>
      <c r="E33" s="3" t="n">
        <v>599000</v>
      </c>
      <c r="F33" s="3" t="n">
        <v>280</v>
      </c>
      <c r="G33" t="n">
        <v>3</v>
      </c>
      <c r="H33" t="n">
        <v>1</v>
      </c>
      <c r="I33" s="4" t="n">
        <v>908</v>
      </c>
      <c r="J33" t="inlineStr">
        <is>
          <t>No</t>
        </is>
      </c>
      <c r="K33" t="inlineStr">
        <is>
          <t>3 spaces</t>
        </is>
      </c>
      <c r="L33" s="3">
        <f>Assumptions!B3</f>
        <v/>
      </c>
      <c r="M33" s="3">
        <f>E33-L33</f>
        <v/>
      </c>
      <c r="N33" s="3">
        <f>-PMT(Assumptions!B2/12,Assumptions!B4*12,M33)</f>
        <v/>
      </c>
      <c r="O33" s="3">
        <f>E33*Assumptions!B5/12</f>
        <v/>
      </c>
      <c r="P33" s="3">
        <f>Assumptions!B6</f>
        <v/>
      </c>
      <c r="Q33" s="3">
        <f>Assumptions!B7+Assumptions!B8</f>
        <v/>
      </c>
      <c r="R33" s="3">
        <f>N33+F33+O33+P33+Q33</f>
        <v/>
      </c>
      <c r="S33" s="3" t="n">
        <v>1300</v>
      </c>
      <c r="T33" s="3">
        <f>R33-S33*MAX(IFERROR(G33-1,0),0)</f>
        <v/>
      </c>
      <c r="U33" t="n">
        <v>1.9</v>
      </c>
      <c r="V33" t="n">
        <v>13.6</v>
      </c>
      <c r="W33" t="n">
        <v>13.2</v>
      </c>
      <c r="X33" s="8">
        <f>(IF(E33="",2,IF(E33&lt;=400000,3,IF(E33&gt;=500000,1,2))))*0.1+(IF(OR(G33="",G33=0),2,IF((E33/G33)&lt;=200000,3,IF((E33/G33)&gt;=300000,1,2))))*0.1+(IF(F33="",2,IF(F33&lt;=200,3,IF(F33&gt;=400,1,2))))*0.1+(IF(T33="",2,IF(T33&lt;=2000,3,IF(T33&gt;=3000,1,2))))*0.2+(IF(V33="",2,IF(V33&lt;=15,3,IF(V33&gt;=30,1,2))))*0.15+(IF(W33="",2,IF(W33&lt;=15,3,IF(W33&gt;=25,1,2))))*0.1+(IF(U33="",2,IF(U33&lt;=5,3,IF(U33&gt;=15,1,2))))*0.1+(IF(J33="Yes",3,IF(J33="No",1,2)))*0.05+(IF(OR(K33="",UPPER(TRIM(K33))="UNKNOWN"),2,IF(OR(UPPER(TRIM(K33))="NONE",ISNUMBER(SEARCH("no parking",K33))),1,3)))*0.05+(IF(AND(ISNUMBER(I33),I33&gt;=900),3,IF(AND(ISNUMBER(G33),G33&gt;=2),3,IF(AND(ISNUMBER(I33),I33&gt;=700),2,IF(AND(ISNUMBER(I33),I33&lt;700),1,2)))))*0.05</f>
        <v/>
      </c>
      <c r="Y33">
        <f>IF(X33&gt;=2.3,"Green",IF(X33&gt;=1.7,"Yellow","Red"))</f>
        <v/>
      </c>
    </row>
    <row r="34">
      <c r="A34" s="9" t="inlineStr">
        <is>
          <t>102 Grant Unit B, Somerville, MA 02145</t>
        </is>
      </c>
      <c r="B34" t="inlineStr">
        <is>
          <t>Somerville</t>
        </is>
      </c>
      <c r="C34" s="6" t="inlineStr">
        <is>
          <t>https://www.redfin.com/MA/Somerville/102-Grant-St-02145/unit-B/home/196668060</t>
        </is>
      </c>
      <c r="D34" s="7" t="n"/>
      <c r="E34" s="3" t="n">
        <v>599000</v>
      </c>
      <c r="F34" s="3" t="n">
        <v>200</v>
      </c>
      <c r="G34" t="n">
        <v>2</v>
      </c>
      <c r="H34" t="n">
        <v>1</v>
      </c>
      <c r="I34" s="4" t="n">
        <v>1162</v>
      </c>
      <c r="J34" t="inlineStr">
        <is>
          <t>No</t>
        </is>
      </c>
      <c r="K34" t="inlineStr">
        <is>
          <t>0 spaces</t>
        </is>
      </c>
      <c r="L34" s="3">
        <f>Assumptions!B3</f>
        <v/>
      </c>
      <c r="M34" s="3">
        <f>E34-L34</f>
        <v/>
      </c>
      <c r="N34" s="3">
        <f>-PMT(Assumptions!B2/12,Assumptions!B4*12,M34)</f>
        <v/>
      </c>
      <c r="O34" s="3">
        <f>E34*Assumptions!B5/12</f>
        <v/>
      </c>
      <c r="P34" s="3">
        <f>Assumptions!B6</f>
        <v/>
      </c>
      <c r="Q34" s="3">
        <f>Assumptions!B7+Assumptions!B8</f>
        <v/>
      </c>
      <c r="R34" s="3">
        <f>N34+F34+O34+P34+Q34</f>
        <v/>
      </c>
      <c r="S34" s="3" t="n">
        <v>1495</v>
      </c>
      <c r="T34" s="3">
        <f>R34-S34*MAX(IFERROR(G34-1,0),0)</f>
        <v/>
      </c>
      <c r="U34" t="n">
        <v>3.7</v>
      </c>
      <c r="V34" t="n">
        <v>7.9</v>
      </c>
      <c r="W34" t="n">
        <v>6.5</v>
      </c>
      <c r="X34" s="8">
        <f>(IF(E34="",2,IF(E34&lt;=400000,3,IF(E34&gt;=500000,1,2))))*0.1+(IF(OR(G34="",G34=0),2,IF((E34/G34)&lt;=200000,3,IF((E34/G34)&gt;=300000,1,2))))*0.1+(IF(F34="",2,IF(F34&lt;=200,3,IF(F34&gt;=400,1,2))))*0.1+(IF(T34="",2,IF(T34&lt;=2000,3,IF(T34&gt;=3000,1,2))))*0.2+(IF(V34="",2,IF(V34&lt;=15,3,IF(V34&gt;=30,1,2))))*0.15+(IF(W34="",2,IF(W34&lt;=15,3,IF(W34&gt;=25,1,2))))*0.1+(IF(U34="",2,IF(U34&lt;=5,3,IF(U34&gt;=15,1,2))))*0.1+(IF(J34="Yes",3,IF(J34="No",1,2)))*0.05+(IF(OR(K34="",UPPER(TRIM(K34))="UNKNOWN"),2,IF(OR(UPPER(TRIM(K34))="NONE",ISNUMBER(SEARCH("no parking",K34))),1,3)))*0.05+(IF(AND(ISNUMBER(I34),I34&gt;=900),3,IF(AND(ISNUMBER(G34),G34&gt;=2),3,IF(AND(ISNUMBER(I34),I34&gt;=700),2,IF(AND(ISNUMBER(I34),I34&lt;700),1,2)))))*0.05</f>
        <v/>
      </c>
      <c r="Y34">
        <f>IF(X34&gt;=2.3,"Green",IF(X34&gt;=1.7,"Yellow","Red"))</f>
        <v/>
      </c>
    </row>
    <row r="35">
      <c r="A35" s="9" t="inlineStr">
        <is>
          <t>4 Summit St, Freetown, MA 02717</t>
        </is>
      </c>
      <c r="B35" t="inlineStr">
        <is>
          <t>Waltham</t>
        </is>
      </c>
      <c r="C35" s="6" t="inlineStr">
        <is>
          <t>https://www.redfin.com/MA/Freetown/4-Summit-ST-02717/home/201528773</t>
        </is>
      </c>
      <c r="D35" s="7" t="inlineStr">
        <is>
          <t>2026-04-22</t>
        </is>
      </c>
      <c r="E35" s="3" t="n">
        <v>469000</v>
      </c>
      <c r="F35" s="3" t="n">
        <v>0</v>
      </c>
      <c r="G35" t="n">
        <v>2</v>
      </c>
      <c r="H35" t="n">
        <v>2</v>
      </c>
      <c r="I35" s="4" t="n">
        <v>909</v>
      </c>
      <c r="J35" t="inlineStr">
        <is>
          <t>No</t>
        </is>
      </c>
      <c r="K35" t="inlineStr">
        <is>
          <t>3 spaces</t>
        </is>
      </c>
      <c r="L35" s="3">
        <f>Assumptions!B3</f>
        <v/>
      </c>
      <c r="M35" s="3">
        <f>E35-L35</f>
        <v/>
      </c>
      <c r="N35" s="3">
        <f>-PMT(Assumptions!B2/12,Assumptions!B4*12,M35)</f>
        <v/>
      </c>
      <c r="O35" s="3">
        <f>E35*Assumptions!B5/12</f>
        <v/>
      </c>
      <c r="P35" s="3">
        <f>Assumptions!B6</f>
        <v/>
      </c>
      <c r="Q35" s="3">
        <f>Assumptions!B7+Assumptions!B8</f>
        <v/>
      </c>
      <c r="R35" s="3">
        <f>N35+F35+O35+P35+Q35</f>
        <v/>
      </c>
      <c r="S35" s="3" t="n">
        <v>1235</v>
      </c>
      <c r="T35" s="3">
        <f>R35-S35*MAX(IFERROR(G35-1,0),0)</f>
        <v/>
      </c>
      <c r="U35" t="n">
        <v>10.7</v>
      </c>
      <c r="V35" t="n">
        <v>23.7</v>
      </c>
      <c r="W35" t="n">
        <v>23.3</v>
      </c>
      <c r="X35" s="8">
        <f>(IF(E35="",2,IF(E35&lt;=400000,3,IF(E35&gt;=500000,1,2))))*0.1+(IF(OR(G35="",G35=0),2,IF((E35/G35)&lt;=200000,3,IF((E35/G35)&gt;=300000,1,2))))*0.1+(IF(F35="",2,IF(F35&lt;=200,3,IF(F35&gt;=400,1,2))))*0.1+(IF(T35="",2,IF(T35&lt;=2000,3,IF(T35&gt;=3000,1,2))))*0.2+(IF(V35="",2,IF(V35&lt;=15,3,IF(V35&gt;=30,1,2))))*0.15+(IF(W35="",2,IF(W35&lt;=15,3,IF(W35&gt;=25,1,2))))*0.1+(IF(U35="",2,IF(U35&lt;=5,3,IF(U35&gt;=15,1,2))))*0.1+(IF(J35="Yes",3,IF(J35="No",1,2)))*0.05+(IF(OR(K35="",UPPER(TRIM(K35))="UNKNOWN"),2,IF(OR(UPPER(TRIM(K35))="NONE",ISNUMBER(SEARCH("no parking",K35))),1,3)))*0.05+(IF(AND(ISNUMBER(I35),I35&gt;=900),3,IF(AND(ISNUMBER(G35),G35&gt;=2),3,IF(AND(ISNUMBER(I35),I35&gt;=700),2,IF(AND(ISNUMBER(I35),I35&lt;700),1,2)))))*0.05</f>
        <v/>
      </c>
      <c r="Y35">
        <f>IF(X35&gt;=2.3,"Green",IF(X35&gt;=1.7,"Yellow","Red"))</f>
        <v/>
      </c>
    </row>
    <row r="36">
      <c r="A36" s="9" t="inlineStr">
        <is>
          <t>195 Thomas Burgin Pkwy #301, Quincy, MA 02169</t>
        </is>
      </c>
      <c r="B36" t="inlineStr">
        <is>
          <t>Quincy</t>
        </is>
      </c>
      <c r="C36" s="6" t="inlineStr">
        <is>
          <t>https://www.redfin.com/MA/Quincy/195-Thomas-Burgin-Pkwy-02169/unit-301/home/8931809</t>
        </is>
      </c>
      <c r="D36" s="7" t="n"/>
      <c r="E36" s="3" t="n">
        <v>250000</v>
      </c>
      <c r="F36" s="3" t="n">
        <v>393</v>
      </c>
      <c r="G36" t="n">
        <v>1</v>
      </c>
      <c r="H36" t="n">
        <v>1</v>
      </c>
      <c r="I36" s="4" t="n">
        <v>447</v>
      </c>
      <c r="J36" t="inlineStr">
        <is>
          <t>No</t>
        </is>
      </c>
      <c r="K36" t="inlineStr">
        <is>
          <t>0 spaces</t>
        </is>
      </c>
      <c r="L36" s="3">
        <f>Assumptions!B3</f>
        <v/>
      </c>
      <c r="M36" s="3">
        <f>E36-L36</f>
        <v/>
      </c>
      <c r="N36" s="3">
        <f>-PMT(Assumptions!B2/12,Assumptions!B4*12,M36)</f>
        <v/>
      </c>
      <c r="O36" s="3">
        <f>E36*Assumptions!B5/12</f>
        <v/>
      </c>
      <c r="P36" s="3">
        <f>Assumptions!B6</f>
        <v/>
      </c>
      <c r="Q36" s="3">
        <f>Assumptions!B7+Assumptions!B8</f>
        <v/>
      </c>
      <c r="R36" s="3">
        <f>N36+F36+O36+P36+Q36</f>
        <v/>
      </c>
      <c r="S36" s="3" t="n">
        <v>0</v>
      </c>
      <c r="T36" s="3">
        <f>R36-S36*MAX(IFERROR(G36-1,0),0)</f>
        <v/>
      </c>
      <c r="U36" t="n">
        <v>2.2</v>
      </c>
      <c r="V36" t="n">
        <v>17.6</v>
      </c>
      <c r="W36" t="n">
        <v>21.7</v>
      </c>
      <c r="X36" s="8">
        <f>(IF(E36="",2,IF(E36&lt;=400000,3,IF(E36&gt;=500000,1,2))))*0.1+(IF(OR(G36="",G36=0),2,IF((E36/G36)&lt;=200000,3,IF((E36/G36)&gt;=300000,1,2))))*0.1+(IF(F36="",2,IF(F36&lt;=200,3,IF(F36&gt;=400,1,2))))*0.1+(IF(T36="",2,IF(T36&lt;=2000,3,IF(T36&gt;=3000,1,2))))*0.2+(IF(V36="",2,IF(V36&lt;=15,3,IF(V36&gt;=30,1,2))))*0.15+(IF(W36="",2,IF(W36&lt;=15,3,IF(W36&gt;=25,1,2))))*0.1+(IF(U36="",2,IF(U36&lt;=5,3,IF(U36&gt;=15,1,2))))*0.1+(IF(J36="Yes",3,IF(J36="No",1,2)))*0.05+(IF(OR(K36="",UPPER(TRIM(K36))="UNKNOWN"),2,IF(OR(UPPER(TRIM(K36))="NONE",ISNUMBER(SEARCH("no parking",K36))),1,3)))*0.05+(IF(AND(ISNUMBER(I36),I36&gt;=900),3,IF(AND(ISNUMBER(G36),G36&gt;=2),3,IF(AND(ISNUMBER(I36),I36&gt;=700),2,IF(AND(ISNUMBER(I36),I36&lt;700),1,2)))))*0.05</f>
        <v/>
      </c>
      <c r="Y36">
        <f>IF(X36&gt;=2.3,"Green",IF(X36&gt;=1.7,"Yellow","Red"))</f>
        <v/>
      </c>
    </row>
    <row r="37">
      <c r="A37" s="9" t="inlineStr">
        <is>
          <t>10 Naviens Ln #1, Waltham, MA 02453</t>
        </is>
      </c>
      <c r="B37" t="inlineStr">
        <is>
          <t>Waltham</t>
        </is>
      </c>
      <c r="C37" s="6" t="inlineStr">
        <is>
          <t>https://www.redfin.com/MA/Waltham/10-Naviens-Ln-02453/unit-1/home/76478882</t>
        </is>
      </c>
      <c r="D37" s="7" t="n"/>
      <c r="E37" s="3" t="n">
        <v>499900</v>
      </c>
      <c r="F37" s="3" t="n">
        <v>134</v>
      </c>
      <c r="G37" t="n">
        <v>2</v>
      </c>
      <c r="H37" t="n">
        <v>1</v>
      </c>
      <c r="I37" s="4" t="n">
        <v>1008</v>
      </c>
      <c r="J37" t="inlineStr">
        <is>
          <t>No</t>
        </is>
      </c>
      <c r="K37" t="inlineStr">
        <is>
          <t>2 spaces</t>
        </is>
      </c>
      <c r="L37" s="3">
        <f>Assumptions!B3</f>
        <v/>
      </c>
      <c r="M37" s="3">
        <f>E37-L37</f>
        <v/>
      </c>
      <c r="N37" s="3">
        <f>-PMT(Assumptions!B2/12,Assumptions!B4*12,M37)</f>
        <v/>
      </c>
      <c r="O37" s="3">
        <f>E37*Assumptions!B5/12</f>
        <v/>
      </c>
      <c r="P37" s="3">
        <f>Assumptions!B6</f>
        <v/>
      </c>
      <c r="Q37" s="3">
        <f>Assumptions!B7+Assumptions!B8</f>
        <v/>
      </c>
      <c r="R37" s="3">
        <f>N37+F37+O37+P37+Q37</f>
        <v/>
      </c>
      <c r="S37" s="3" t="n">
        <v>1235</v>
      </c>
      <c r="T37" s="3">
        <f>R37-S37*MAX(IFERROR(G37-1,0),0)</f>
        <v/>
      </c>
      <c r="U37" t="n">
        <v>10.9</v>
      </c>
      <c r="V37" t="n">
        <v>19.2</v>
      </c>
      <c r="W37" t="n">
        <v>19.7</v>
      </c>
      <c r="X37" s="8">
        <f>(IF(E37="",2,IF(E37&lt;=400000,3,IF(E37&gt;=500000,1,2))))*0.1+(IF(OR(G37="",G37=0),2,IF((E37/G37)&lt;=200000,3,IF((E37/G37)&gt;=300000,1,2))))*0.1+(IF(F37="",2,IF(F37&lt;=200,3,IF(F37&gt;=400,1,2))))*0.1+(IF(T37="",2,IF(T37&lt;=2000,3,IF(T37&gt;=3000,1,2))))*0.2+(IF(V37="",2,IF(V37&lt;=15,3,IF(V37&gt;=30,1,2))))*0.15+(IF(W37="",2,IF(W37&lt;=15,3,IF(W37&gt;=25,1,2))))*0.1+(IF(U37="",2,IF(U37&lt;=5,3,IF(U37&gt;=15,1,2))))*0.1+(IF(J37="Yes",3,IF(J37="No",1,2)))*0.05+(IF(OR(K37="",UPPER(TRIM(K37))="UNKNOWN"),2,IF(OR(UPPER(TRIM(K37))="NONE",ISNUMBER(SEARCH("no parking",K37))),1,3)))*0.05+(IF(AND(ISNUMBER(I37),I37&gt;=900),3,IF(AND(ISNUMBER(G37),G37&gt;=2),3,IF(AND(ISNUMBER(I37),I37&gt;=700),2,IF(AND(ISNUMBER(I37),I37&lt;700),1,2)))))*0.05</f>
        <v/>
      </c>
      <c r="Y37">
        <f>IF(X37&gt;=2.3,"Green",IF(X37&gt;=1.7,"Yellow","Red"))</f>
        <v/>
      </c>
    </row>
    <row r="38">
      <c r="A38" s="9" t="inlineStr">
        <is>
          <t>5 Braemore Rd #10, Brighton, MA 02135</t>
        </is>
      </c>
      <c r="B38" t="inlineStr">
        <is>
          <t>Brighton</t>
        </is>
      </c>
      <c r="C38" s="6" t="inlineStr">
        <is>
          <t>https://www.redfin.com/MA/Brighton/5-Braemore-Rd-02135/unit-10/home/9308549</t>
        </is>
      </c>
      <c r="D38" s="7" t="n"/>
      <c r="E38" s="3" t="n">
        <v>315000</v>
      </c>
      <c r="F38" s="3" t="n">
        <v>352</v>
      </c>
      <c r="G38" t="n">
        <v>1</v>
      </c>
      <c r="H38" t="n">
        <v>1</v>
      </c>
      <c r="I38" s="4" t="n">
        <v>385</v>
      </c>
      <c r="J38" t="inlineStr">
        <is>
          <t>No</t>
        </is>
      </c>
      <c r="K38" t="inlineStr">
        <is>
          <t>0 spaces</t>
        </is>
      </c>
      <c r="L38" s="3">
        <f>Assumptions!B3</f>
        <v/>
      </c>
      <c r="M38" s="3">
        <f>E38-L38</f>
        <v/>
      </c>
      <c r="N38" s="3">
        <f>-PMT(Assumptions!B2/12,Assumptions!B4*12,M38)</f>
        <v/>
      </c>
      <c r="O38" s="3">
        <f>E38*Assumptions!B5/12</f>
        <v/>
      </c>
      <c r="P38" s="3">
        <f>Assumptions!B6</f>
        <v/>
      </c>
      <c r="Q38" s="3">
        <f>Assumptions!B7+Assumptions!B8</f>
        <v/>
      </c>
      <c r="R38" s="3">
        <f>N38+F38+O38+P38+Q38</f>
        <v/>
      </c>
      <c r="S38" s="3" t="n">
        <v>0</v>
      </c>
      <c r="T38" s="3">
        <f>R38-S38*MAX(IFERROR(G38-1,0),0)</f>
        <v/>
      </c>
      <c r="U38" t="n">
        <v>1.7</v>
      </c>
      <c r="V38" t="n">
        <v>15.9</v>
      </c>
      <c r="W38" t="n">
        <v>14.1</v>
      </c>
      <c r="X38" s="8">
        <f>(IF(E38="",2,IF(E38&lt;=400000,3,IF(E38&gt;=500000,1,2))))*0.1+(IF(OR(G38="",G38=0),2,IF((E38/G38)&lt;=200000,3,IF((E38/G38)&gt;=300000,1,2))))*0.1+(IF(F38="",2,IF(F38&lt;=200,3,IF(F38&gt;=400,1,2))))*0.1+(IF(T38="",2,IF(T38&lt;=2000,3,IF(T38&gt;=3000,1,2))))*0.2+(IF(V38="",2,IF(V38&lt;=15,3,IF(V38&gt;=30,1,2))))*0.15+(IF(W38="",2,IF(W38&lt;=15,3,IF(W38&gt;=25,1,2))))*0.1+(IF(U38="",2,IF(U38&lt;=5,3,IF(U38&gt;=15,1,2))))*0.1+(IF(J38="Yes",3,IF(J38="No",1,2)))*0.05+(IF(OR(K38="",UPPER(TRIM(K38))="UNKNOWN"),2,IF(OR(UPPER(TRIM(K38))="NONE",ISNUMBER(SEARCH("no parking",K38))),1,3)))*0.05+(IF(AND(ISNUMBER(I38),I38&gt;=900),3,IF(AND(ISNUMBER(G38),G38&gt;=2),3,IF(AND(ISNUMBER(I38),I38&gt;=700),2,IF(AND(ISNUMBER(I38),I38&lt;700),1,2)))))*0.05</f>
        <v/>
      </c>
      <c r="Y38">
        <f>IF(X38&gt;=2.3,"Green",IF(X38&gt;=1.7,"Yellow","Red"))</f>
        <v/>
      </c>
    </row>
    <row r="39">
      <c r="A39" s="9" t="inlineStr">
        <is>
          <t>1641 Commonwealth Ave #16, Brighton, MA 02135</t>
        </is>
      </c>
      <c r="B39" t="inlineStr">
        <is>
          <t>Brighton</t>
        </is>
      </c>
      <c r="C39" s="6" t="inlineStr">
        <is>
          <t>https://www.redfin.com/MA/Brighton/1641-Commonwealth-Ave-02135/unit-16/home/9002891</t>
        </is>
      </c>
      <c r="D39" s="7" t="inlineStr">
        <is>
          <t>2026-04-08</t>
        </is>
      </c>
      <c r="E39" s="3" t="n">
        <v>349000</v>
      </c>
      <c r="F39" s="3" t="n">
        <v>399</v>
      </c>
      <c r="G39" t="n">
        <v>1</v>
      </c>
      <c r="H39" t="n">
        <v>1</v>
      </c>
      <c r="I39" s="4" t="n">
        <v>407</v>
      </c>
      <c r="J39" t="inlineStr">
        <is>
          <t>No</t>
        </is>
      </c>
      <c r="K39" t="inlineStr">
        <is>
          <t>0 spaces</t>
        </is>
      </c>
      <c r="L39" s="3">
        <f>Assumptions!B3</f>
        <v/>
      </c>
      <c r="M39" s="3">
        <f>E39-L39</f>
        <v/>
      </c>
      <c r="N39" s="3">
        <f>-PMT(Assumptions!B2/12,Assumptions!B4*12,M39)</f>
        <v/>
      </c>
      <c r="O39" s="3">
        <f>E39*Assumptions!B5/12</f>
        <v/>
      </c>
      <c r="P39" s="3">
        <f>Assumptions!B6</f>
        <v/>
      </c>
      <c r="Q39" s="3">
        <f>Assumptions!B7+Assumptions!B8</f>
        <v/>
      </c>
      <c r="R39" s="3">
        <f>N39+F39+O39+P39+Q39</f>
        <v/>
      </c>
      <c r="S39" s="3" t="n">
        <v>0</v>
      </c>
      <c r="T39" s="3">
        <f>R39-S39*MAX(IFERROR(G39-1,0),0)</f>
        <v/>
      </c>
      <c r="U39" t="n">
        <v>0.4</v>
      </c>
      <c r="V39" t="n">
        <v>15</v>
      </c>
      <c r="W39" t="n">
        <v>14.6</v>
      </c>
      <c r="X39" s="8">
        <f>(IF(E39="",2,IF(E39&lt;=400000,3,IF(E39&gt;=500000,1,2))))*0.1+(IF(OR(G39="",G39=0),2,IF((E39/G39)&lt;=200000,3,IF((E39/G39)&gt;=300000,1,2))))*0.1+(IF(F39="",2,IF(F39&lt;=200,3,IF(F39&gt;=400,1,2))))*0.1+(IF(T39="",2,IF(T39&lt;=2000,3,IF(T39&gt;=3000,1,2))))*0.2+(IF(V39="",2,IF(V39&lt;=15,3,IF(V39&gt;=30,1,2))))*0.15+(IF(W39="",2,IF(W39&lt;=15,3,IF(W39&gt;=25,1,2))))*0.1+(IF(U39="",2,IF(U39&lt;=5,3,IF(U39&gt;=15,1,2))))*0.1+(IF(J39="Yes",3,IF(J39="No",1,2)))*0.05+(IF(OR(K39="",UPPER(TRIM(K39))="UNKNOWN"),2,IF(OR(UPPER(TRIM(K39))="NONE",ISNUMBER(SEARCH("no parking",K39))),1,3)))*0.05+(IF(AND(ISNUMBER(I39),I39&gt;=900),3,IF(AND(ISNUMBER(G39),G39&gt;=2),3,IF(AND(ISNUMBER(I39),I39&gt;=700),2,IF(AND(ISNUMBER(I39),I39&lt;700),1,2)))))*0.05</f>
        <v/>
      </c>
      <c r="Y39">
        <f>IF(X39&gt;=2.3,"Green",IF(X39&gt;=1.7,"Yellow","Red"))</f>
        <v/>
      </c>
    </row>
    <row r="40">
      <c r="A40" s="9" t="inlineStr">
        <is>
          <t>1568 Commonwealth Ave #12, Brighton, MA 02135</t>
        </is>
      </c>
      <c r="B40" t="inlineStr">
        <is>
          <t>Brighton</t>
        </is>
      </c>
      <c r="C40" s="6" t="inlineStr">
        <is>
          <t>https://www.redfin.com/MA/Brighton/1568-Commonwealth-Ave-02135/unit-12/home/9017105</t>
        </is>
      </c>
      <c r="D40" s="7" t="inlineStr">
        <is>
          <t>2026-04-09</t>
        </is>
      </c>
      <c r="E40" s="3" t="n">
        <v>314900</v>
      </c>
      <c r="F40" s="3" t="n">
        <v>369</v>
      </c>
      <c r="G40" t="n">
        <v>1</v>
      </c>
      <c r="H40" t="n">
        <v>1</v>
      </c>
      <c r="I40" s="4" t="n">
        <v>306</v>
      </c>
      <c r="J40" t="inlineStr">
        <is>
          <t>No</t>
        </is>
      </c>
      <c r="K40" t="inlineStr">
        <is>
          <t>0 spaces</t>
        </is>
      </c>
      <c r="L40" s="3">
        <f>Assumptions!B3</f>
        <v/>
      </c>
      <c r="M40" s="3">
        <f>E40-L40</f>
        <v/>
      </c>
      <c r="N40" s="3">
        <f>-PMT(Assumptions!B2/12,Assumptions!B4*12,M40)</f>
        <v/>
      </c>
      <c r="O40" s="3">
        <f>E40*Assumptions!B5/12</f>
        <v/>
      </c>
      <c r="P40" s="3">
        <f>Assumptions!B6</f>
        <v/>
      </c>
      <c r="Q40" s="3">
        <f>Assumptions!B7+Assumptions!B8</f>
        <v/>
      </c>
      <c r="R40" s="3">
        <f>N40+F40+O40+P40+Q40</f>
        <v/>
      </c>
      <c r="S40" s="3" t="n">
        <v>0</v>
      </c>
      <c r="T40" s="3">
        <f>R40-S40*MAX(IFERROR(G40-1,0),0)</f>
        <v/>
      </c>
      <c r="U40" t="n">
        <v>1.2</v>
      </c>
      <c r="V40" t="n">
        <v>13.7</v>
      </c>
      <c r="W40" t="n">
        <v>13.3</v>
      </c>
      <c r="X40" s="8">
        <f>(IF(E40="",2,IF(E40&lt;=400000,3,IF(E40&gt;=500000,1,2))))*0.1+(IF(OR(G40="",G40=0),2,IF((E40/G40)&lt;=200000,3,IF((E40/G40)&gt;=300000,1,2))))*0.1+(IF(F40="",2,IF(F40&lt;=200,3,IF(F40&gt;=400,1,2))))*0.1+(IF(T40="",2,IF(T40&lt;=2000,3,IF(T40&gt;=3000,1,2))))*0.2+(IF(V40="",2,IF(V40&lt;=15,3,IF(V40&gt;=30,1,2))))*0.15+(IF(W40="",2,IF(W40&lt;=15,3,IF(W40&gt;=25,1,2))))*0.1+(IF(U40="",2,IF(U40&lt;=5,3,IF(U40&gt;=15,1,2))))*0.1+(IF(J40="Yes",3,IF(J40="No",1,2)))*0.05+(IF(OR(K40="",UPPER(TRIM(K40))="UNKNOWN"),2,IF(OR(UPPER(TRIM(K40))="NONE",ISNUMBER(SEARCH("no parking",K40))),1,3)))*0.05+(IF(AND(ISNUMBER(I40),I40&gt;=900),3,IF(AND(ISNUMBER(G40),G40&gt;=2),3,IF(AND(ISNUMBER(I40),I40&gt;=700),2,IF(AND(ISNUMBER(I40),I40&lt;700),1,2)))))*0.05</f>
        <v/>
      </c>
      <c r="Y40">
        <f>IF(X40&gt;=2.3,"Green",IF(X40&gt;=1.7,"Yellow","Red"))</f>
        <v/>
      </c>
    </row>
    <row r="41">
      <c r="A41" s="9" t="inlineStr">
        <is>
          <t>10 Scottfield Rd #34, Allston, MA 02134</t>
        </is>
      </c>
      <c r="B41" t="inlineStr">
        <is>
          <t>Allston</t>
        </is>
      </c>
      <c r="C41" s="6" t="inlineStr">
        <is>
          <t>https://www.redfin.com/MA/Allston/10-Scottfield-Rd-02134/unit-34/home/9000321</t>
        </is>
      </c>
      <c r="D41" s="7" t="inlineStr">
        <is>
          <t>2026-04-08</t>
        </is>
      </c>
      <c r="E41" s="3" t="n">
        <v>499000</v>
      </c>
      <c r="F41" s="3" t="n">
        <v>408</v>
      </c>
      <c r="G41" t="n">
        <v>2</v>
      </c>
      <c r="H41" t="n">
        <v>1</v>
      </c>
      <c r="I41" s="4" t="n">
        <v>746</v>
      </c>
      <c r="J41" t="inlineStr">
        <is>
          <t>No</t>
        </is>
      </c>
      <c r="K41" t="inlineStr">
        <is>
          <t>1 space</t>
        </is>
      </c>
      <c r="L41" s="3">
        <f>Assumptions!B3</f>
        <v/>
      </c>
      <c r="M41" s="3">
        <f>E41-L41</f>
        <v/>
      </c>
      <c r="N41" s="3">
        <f>-PMT(Assumptions!B2/12,Assumptions!B4*12,M41)</f>
        <v/>
      </c>
      <c r="O41" s="3">
        <f>E41*Assumptions!B5/12</f>
        <v/>
      </c>
      <c r="P41" s="3">
        <f>Assumptions!B6</f>
        <v/>
      </c>
      <c r="Q41" s="3">
        <f>Assumptions!B7+Assumptions!B8</f>
        <v/>
      </c>
      <c r="R41" s="3">
        <f>N41+F41+O41+P41+Q41</f>
        <v/>
      </c>
      <c r="S41" s="3" t="n">
        <v>1235</v>
      </c>
      <c r="T41" s="3">
        <f>R41-S41*MAX(IFERROR(G41-1,0),0)</f>
        <v/>
      </c>
      <c r="U41" t="n">
        <v>2</v>
      </c>
      <c r="V41" t="n">
        <v>12.2</v>
      </c>
      <c r="W41" t="n">
        <v>11.8</v>
      </c>
      <c r="X41" s="8">
        <f>(IF(E41="",2,IF(E41&lt;=400000,3,IF(E41&gt;=500000,1,2))))*0.1+(IF(OR(G41="",G41=0),2,IF((E41/G41)&lt;=200000,3,IF((E41/G41)&gt;=300000,1,2))))*0.1+(IF(F41="",2,IF(F41&lt;=200,3,IF(F41&gt;=400,1,2))))*0.1+(IF(T41="",2,IF(T41&lt;=2000,3,IF(T41&gt;=3000,1,2))))*0.2+(IF(V41="",2,IF(V41&lt;=15,3,IF(V41&gt;=30,1,2))))*0.15+(IF(W41="",2,IF(W41&lt;=15,3,IF(W41&gt;=25,1,2))))*0.1+(IF(U41="",2,IF(U41&lt;=5,3,IF(U41&gt;=15,1,2))))*0.1+(IF(J41="Yes",3,IF(J41="No",1,2)))*0.05+(IF(OR(K41="",UPPER(TRIM(K41))="UNKNOWN"),2,IF(OR(UPPER(TRIM(K41))="NONE",ISNUMBER(SEARCH("no parking",K41))),1,3)))*0.05+(IF(AND(ISNUMBER(I41),I41&gt;=900),3,IF(AND(ISNUMBER(G41),G41&gt;=2),3,IF(AND(ISNUMBER(I41),I41&gt;=700),2,IF(AND(ISNUMBER(I41),I41&lt;700),1,2)))))*0.05</f>
        <v/>
      </c>
      <c r="Y41">
        <f>IF(X41&gt;=2.3,"Green",IF(X41&gt;=1.7,"Yellow","Red"))</f>
        <v/>
      </c>
    </row>
    <row r="42">
      <c r="A42" s="9" t="inlineStr">
        <is>
          <t>57 Brighton Ave #6, Allston, MA 02134</t>
        </is>
      </c>
      <c r="B42" t="inlineStr">
        <is>
          <t>Allston</t>
        </is>
      </c>
      <c r="C42" s="6" t="inlineStr">
        <is>
          <t>https://www.redfin.com/MA/Allston/57-Brighton-Ave-02134/unit-6/home/8991939</t>
        </is>
      </c>
      <c r="D42" s="7" t="n"/>
      <c r="E42" s="3" t="n">
        <v>429000</v>
      </c>
      <c r="F42" s="3" t="n">
        <v>0</v>
      </c>
      <c r="G42" t="n">
        <v>1</v>
      </c>
      <c r="H42" t="n">
        <v>1</v>
      </c>
      <c r="I42" s="4" t="n">
        <v>620</v>
      </c>
      <c r="J42" t="inlineStr">
        <is>
          <t>No</t>
        </is>
      </c>
      <c r="K42" t="inlineStr">
        <is>
          <t>Unknown</t>
        </is>
      </c>
      <c r="L42" s="3">
        <f>Assumptions!B3</f>
        <v/>
      </c>
      <c r="M42" s="3">
        <f>E42-L42</f>
        <v/>
      </c>
      <c r="N42" s="3">
        <f>-PMT(Assumptions!B2/12,Assumptions!B4*12,M42)</f>
        <v/>
      </c>
      <c r="O42" s="3">
        <f>E42*Assumptions!B5/12</f>
        <v/>
      </c>
      <c r="P42" s="3">
        <f>Assumptions!B6</f>
        <v/>
      </c>
      <c r="Q42" s="3">
        <f>Assumptions!B7+Assumptions!B8</f>
        <v/>
      </c>
      <c r="R42" s="3">
        <f>N42+F42+O42+P42+Q42</f>
        <v/>
      </c>
      <c r="S42" s="3" t="n">
        <v>0</v>
      </c>
      <c r="T42" s="3">
        <f>R42-S42*MAX(IFERROR(G42-1,0),0)</f>
        <v/>
      </c>
      <c r="U42" t="n">
        <v>2.2</v>
      </c>
      <c r="V42" t="n">
        <v>10.6</v>
      </c>
      <c r="W42" t="n">
        <v>10.3</v>
      </c>
      <c r="X42" s="8">
        <f>(IF(E42="",2,IF(E42&lt;=400000,3,IF(E42&gt;=500000,1,2))))*0.1+(IF(OR(G42="",G42=0),2,IF((E42/G42)&lt;=200000,3,IF((E42/G42)&gt;=300000,1,2))))*0.1+(IF(F42="",2,IF(F42&lt;=200,3,IF(F42&gt;=400,1,2))))*0.1+(IF(T42="",2,IF(T42&lt;=2000,3,IF(T42&gt;=3000,1,2))))*0.2+(IF(V42="",2,IF(V42&lt;=15,3,IF(V42&gt;=30,1,2))))*0.15+(IF(W42="",2,IF(W42&lt;=15,3,IF(W42&gt;=25,1,2))))*0.1+(IF(U42="",2,IF(U42&lt;=5,3,IF(U42&gt;=15,1,2))))*0.1+(IF(J42="Yes",3,IF(J42="No",1,2)))*0.05+(IF(OR(K42="",UPPER(TRIM(K42))="UNKNOWN"),2,IF(OR(UPPER(TRIM(K42))="NONE",ISNUMBER(SEARCH("no parking",K42))),1,3)))*0.05+(IF(AND(ISNUMBER(I42),I42&gt;=900),3,IF(AND(ISNUMBER(G42),G42&gt;=2),3,IF(AND(ISNUMBER(I42),I42&gt;=700),2,IF(AND(ISNUMBER(I42),I42&lt;700),1,2)))))*0.05</f>
        <v/>
      </c>
      <c r="Y42">
        <f>IF(X42&gt;=2.3,"Green",IF(X42&gt;=1.7,"Yellow","Red"))</f>
        <v/>
      </c>
    </row>
    <row r="43">
      <c r="A43" s="9" t="inlineStr">
        <is>
          <t>297 Main St #3, Medford, MA 02155</t>
        </is>
      </c>
      <c r="B43" t="inlineStr">
        <is>
          <t>Medford</t>
        </is>
      </c>
      <c r="C43" s="6" t="inlineStr">
        <is>
          <t>https://www.redfin.com/MA/Medford/297-Main-St-02155/unit-3/home/11796231</t>
        </is>
      </c>
      <c r="D43" s="7" t="n"/>
      <c r="E43" s="3" t="n">
        <v>368000</v>
      </c>
      <c r="F43" s="3" t="n">
        <v>324</v>
      </c>
      <c r="G43" t="n">
        <v>1</v>
      </c>
      <c r="H43" t="n">
        <v>1</v>
      </c>
      <c r="I43" s="4" t="n">
        <v>596</v>
      </c>
      <c r="J43" t="inlineStr">
        <is>
          <t>No</t>
        </is>
      </c>
      <c r="K43" t="inlineStr">
        <is>
          <t>1 space</t>
        </is>
      </c>
      <c r="L43" s="3">
        <f>Assumptions!B3</f>
        <v/>
      </c>
      <c r="M43" s="3">
        <f>E43-L43</f>
        <v/>
      </c>
      <c r="N43" s="3">
        <f>-PMT(Assumptions!B2/12,Assumptions!B4*12,M43)</f>
        <v/>
      </c>
      <c r="O43" s="3">
        <f>E43*Assumptions!B5/12</f>
        <v/>
      </c>
      <c r="P43" s="3">
        <f>Assumptions!B6</f>
        <v/>
      </c>
      <c r="Q43" s="3">
        <f>Assumptions!B7+Assumptions!B8</f>
        <v/>
      </c>
      <c r="R43" s="3">
        <f>N43+F43+O43+P43+Q43</f>
        <v/>
      </c>
      <c r="S43" s="3" t="n">
        <v>0</v>
      </c>
      <c r="T43" s="3">
        <f>R43-S43*MAX(IFERROR(G43-1,0),0)</f>
        <v/>
      </c>
      <c r="U43" t="n">
        <v>1.8</v>
      </c>
      <c r="V43" t="n">
        <v>11</v>
      </c>
      <c r="W43" t="n">
        <v>9.6</v>
      </c>
      <c r="X43" s="8">
        <f>(IF(E43="",2,IF(E43&lt;=400000,3,IF(E43&gt;=500000,1,2))))*0.1+(IF(OR(G43="",G43=0),2,IF((E43/G43)&lt;=200000,3,IF((E43/G43)&gt;=300000,1,2))))*0.1+(IF(F43="",2,IF(F43&lt;=200,3,IF(F43&gt;=400,1,2))))*0.1+(IF(T43="",2,IF(T43&lt;=2000,3,IF(T43&gt;=3000,1,2))))*0.2+(IF(V43="",2,IF(V43&lt;=15,3,IF(V43&gt;=30,1,2))))*0.15+(IF(W43="",2,IF(W43&lt;=15,3,IF(W43&gt;=25,1,2))))*0.1+(IF(U43="",2,IF(U43&lt;=5,3,IF(U43&gt;=15,1,2))))*0.1+(IF(J43="Yes",3,IF(J43="No",1,2)))*0.05+(IF(OR(K43="",UPPER(TRIM(K43))="UNKNOWN"),2,IF(OR(UPPER(TRIM(K43))="NONE",ISNUMBER(SEARCH("no parking",K43))),1,3)))*0.05+(IF(AND(ISNUMBER(I43),I43&gt;=900),3,IF(AND(ISNUMBER(G43),G43&gt;=2),3,IF(AND(ISNUMBER(I43),I43&gt;=700),2,IF(AND(ISNUMBER(I43),I43&lt;700),1,2)))))*0.05</f>
        <v/>
      </c>
      <c r="Y43">
        <f>IF(X43&gt;=2.3,"Green",IF(X43&gt;=1.7,"Yellow","Red"))</f>
        <v/>
      </c>
    </row>
    <row r="44">
      <c r="A44" s="9" t="inlineStr">
        <is>
          <t>, Boston, MA 02135</t>
        </is>
      </c>
      <c r="B44" t="inlineStr">
        <is>
          <t>Brighton</t>
        </is>
      </c>
      <c r="C44" s="6" t="inlineStr">
        <is>
          <t>https://www.redfin.com/MA/Brighton/Undisclosed-address-02135/home/9013888</t>
        </is>
      </c>
      <c r="D44" s="7" t="n"/>
      <c r="E44" s="3" t="n">
        <v>469000</v>
      </c>
      <c r="F44" s="3" t="n">
        <v>0</v>
      </c>
      <c r="G44" t="n">
        <v>1</v>
      </c>
      <c r="H44" t="n">
        <v>1</v>
      </c>
      <c r="I44" s="4" t="n">
        <v>560</v>
      </c>
      <c r="J44" t="inlineStr">
        <is>
          <t>No</t>
        </is>
      </c>
      <c r="K44" t="inlineStr">
        <is>
          <t>Unknown</t>
        </is>
      </c>
      <c r="L44" s="3">
        <f>Assumptions!B3</f>
        <v/>
      </c>
      <c r="M44" s="3">
        <f>E44-L44</f>
        <v/>
      </c>
      <c r="N44" s="3">
        <f>-PMT(Assumptions!B2/12,Assumptions!B4*12,M44)</f>
        <v/>
      </c>
      <c r="O44" s="3">
        <f>E44*Assumptions!B5/12</f>
        <v/>
      </c>
      <c r="P44" s="3">
        <f>Assumptions!B6</f>
        <v/>
      </c>
      <c r="Q44" s="3">
        <f>Assumptions!B7+Assumptions!B8</f>
        <v/>
      </c>
      <c r="R44" s="3">
        <f>N44+F44+O44+P44+Q44</f>
        <v/>
      </c>
      <c r="S44" s="3" t="n">
        <v>0</v>
      </c>
      <c r="T44" s="3">
        <f>R44-S44*MAX(IFERROR(G44-1,0),0)</f>
        <v/>
      </c>
      <c r="U44" t="n">
        <v>0.7</v>
      </c>
      <c r="V44" t="n">
        <v>12.8</v>
      </c>
      <c r="W44" t="n">
        <v>12.5</v>
      </c>
      <c r="X44" s="8">
        <f>(IF(E44="",2,IF(E44&lt;=400000,3,IF(E44&gt;=500000,1,2))))*0.1+(IF(OR(G44="",G44=0),2,IF((E44/G44)&lt;=200000,3,IF((E44/G44)&gt;=300000,1,2))))*0.1+(IF(F44="",2,IF(F44&lt;=200,3,IF(F44&gt;=400,1,2))))*0.1+(IF(T44="",2,IF(T44&lt;=2000,3,IF(T44&gt;=3000,1,2))))*0.2+(IF(V44="",2,IF(V44&lt;=15,3,IF(V44&gt;=30,1,2))))*0.15+(IF(W44="",2,IF(W44&lt;=15,3,IF(W44&gt;=25,1,2))))*0.1+(IF(U44="",2,IF(U44&lt;=5,3,IF(U44&gt;=15,1,2))))*0.1+(IF(J44="Yes",3,IF(J44="No",1,2)))*0.05+(IF(OR(K44="",UPPER(TRIM(K44))="UNKNOWN"),2,IF(OR(UPPER(TRIM(K44))="NONE",ISNUMBER(SEARCH("no parking",K44))),1,3)))*0.05+(IF(AND(ISNUMBER(I44),I44&gt;=900),3,IF(AND(ISNUMBER(G44),G44&gt;=2),3,IF(AND(ISNUMBER(I44),I44&gt;=700),2,IF(AND(ISNUMBER(I44),I44&lt;700),1,2)))))*0.05</f>
        <v/>
      </c>
      <c r="Y44">
        <f>IF(X44&gt;=2.3,"Green",IF(X44&gt;=1.7,"Yellow","Red"))</f>
        <v/>
      </c>
    </row>
    <row r="45">
      <c r="A45" s="9" t="inlineStr">
        <is>
          <t>32 Whites Ave Unit D13A, Watertown, MA 02472</t>
        </is>
      </c>
      <c r="B45" t="inlineStr">
        <is>
          <t>Watertown</t>
        </is>
      </c>
      <c r="C45" s="6" t="inlineStr">
        <is>
          <t>https://www.redfin.com/MA/Watertown/32-Whites-Ave-02472/unit-D13A/home/11704983</t>
        </is>
      </c>
      <c r="D45" s="7" t="inlineStr">
        <is>
          <t>2026-05-12</t>
        </is>
      </c>
      <c r="E45" s="3" t="n">
        <v>299000</v>
      </c>
      <c r="F45" s="3" t="n">
        <v>242</v>
      </c>
      <c r="G45" t="n">
        <v>1</v>
      </c>
      <c r="H45" t="n">
        <v>1</v>
      </c>
      <c r="I45" s="4" t="n">
        <v>340</v>
      </c>
      <c r="J45" t="inlineStr">
        <is>
          <t>No</t>
        </is>
      </c>
      <c r="K45" t="inlineStr">
        <is>
          <t>1 space</t>
        </is>
      </c>
      <c r="L45" s="3">
        <f>Assumptions!B3</f>
        <v/>
      </c>
      <c r="M45" s="3">
        <f>E45-L45</f>
        <v/>
      </c>
      <c r="N45" s="3">
        <f>-PMT(Assumptions!B2/12,Assumptions!B4*12,M45)</f>
        <v/>
      </c>
      <c r="O45" s="3">
        <f>E45*Assumptions!B5/12</f>
        <v/>
      </c>
      <c r="P45" s="3">
        <f>Assumptions!B6</f>
        <v/>
      </c>
      <c r="Q45" s="3">
        <f>Assumptions!B7+Assumptions!B8</f>
        <v/>
      </c>
      <c r="R45" s="3">
        <f>N45+F45+O45+P45+Q45</f>
        <v/>
      </c>
      <c r="S45" s="3" t="n">
        <v>0</v>
      </c>
      <c r="T45" s="3">
        <f>R45-S45*MAX(IFERROR(G45-1,0),0)</f>
        <v/>
      </c>
      <c r="U45" t="n">
        <v>10.7</v>
      </c>
      <c r="V45" t="n">
        <v>17.1</v>
      </c>
      <c r="W45" t="n">
        <v>17.1</v>
      </c>
      <c r="X45" s="8">
        <f>(IF(E45="",2,IF(E45&lt;=400000,3,IF(E45&gt;=500000,1,2))))*0.1+(IF(OR(G45="",G45=0),2,IF((E45/G45)&lt;=200000,3,IF((E45/G45)&gt;=300000,1,2))))*0.1+(IF(F45="",2,IF(F45&lt;=200,3,IF(F45&gt;=400,1,2))))*0.1+(IF(T45="",2,IF(T45&lt;=2000,3,IF(T45&gt;=3000,1,2))))*0.2+(IF(V45="",2,IF(V45&lt;=15,3,IF(V45&gt;=30,1,2))))*0.15+(IF(W45="",2,IF(W45&lt;=15,3,IF(W45&gt;=25,1,2))))*0.1+(IF(U45="",2,IF(U45&lt;=5,3,IF(U45&gt;=15,1,2))))*0.1+(IF(J45="Yes",3,IF(J45="No",1,2)))*0.05+(IF(OR(K45="",UPPER(TRIM(K45))="UNKNOWN"),2,IF(OR(UPPER(TRIM(K45))="NONE",ISNUMBER(SEARCH("no parking",K45))),1,3)))*0.05+(IF(AND(ISNUMBER(I45),I45&gt;=900),3,IF(AND(ISNUMBER(G45),G45&gt;=2),3,IF(AND(ISNUMBER(I45),I45&gt;=700),2,IF(AND(ISNUMBER(I45),I45&lt;700),1,2)))))*0.05</f>
        <v/>
      </c>
      <c r="Y45">
        <f>IF(X45&gt;=2.3,"Green",IF(X45&gt;=1.7,"Yellow","Red"))</f>
        <v/>
      </c>
    </row>
    <row r="46">
      <c r="A46" s="9" t="inlineStr">
        <is>
          <t>68 Aldrich Rd Unit B, Watertown, MA 02472</t>
        </is>
      </c>
      <c r="B46" t="inlineStr">
        <is>
          <t>Watertown</t>
        </is>
      </c>
      <c r="C46" s="6" t="inlineStr">
        <is>
          <t>https://www.redfin.com/MA/Watertown/68-Aldrich-Rd-02472/unit-B/home/11682866</t>
        </is>
      </c>
      <c r="D46" s="7" t="inlineStr">
        <is>
          <t>2026-05-06</t>
        </is>
      </c>
      <c r="E46" s="3" t="n">
        <v>499900</v>
      </c>
      <c r="F46" s="3" t="n">
        <v>275</v>
      </c>
      <c r="G46" t="n">
        <v>2</v>
      </c>
      <c r="H46" t="n">
        <v>1</v>
      </c>
      <c r="I46" s="4" t="n">
        <v>738</v>
      </c>
      <c r="J46" t="inlineStr">
        <is>
          <t>No</t>
        </is>
      </c>
      <c r="K46" t="inlineStr">
        <is>
          <t>3 spaces</t>
        </is>
      </c>
      <c r="L46" s="3">
        <f>Assumptions!B3</f>
        <v/>
      </c>
      <c r="M46" s="3">
        <f>E46-L46</f>
        <v/>
      </c>
      <c r="N46" s="3">
        <f>-PMT(Assumptions!B2/12,Assumptions!B4*12,M46)</f>
        <v/>
      </c>
      <c r="O46" s="3">
        <f>E46*Assumptions!B5/12</f>
        <v/>
      </c>
      <c r="P46" s="3">
        <f>Assumptions!B6</f>
        <v/>
      </c>
      <c r="Q46" s="3">
        <f>Assumptions!B7+Assumptions!B8</f>
        <v/>
      </c>
      <c r="R46" s="3">
        <f>N46+F46+O46+P46+Q46</f>
        <v/>
      </c>
      <c r="S46" s="3" t="n">
        <v>1365</v>
      </c>
      <c r="T46" s="3">
        <f>R46-S46*MAX(IFERROR(G46-1,0),0)</f>
        <v/>
      </c>
      <c r="U46" t="n">
        <v>8.9</v>
      </c>
      <c r="V46" t="n">
        <v>15.3</v>
      </c>
      <c r="W46" t="n">
        <v>15.8</v>
      </c>
      <c r="X46" s="8">
        <f>(IF(E46="",2,IF(E46&lt;=400000,3,IF(E46&gt;=500000,1,2))))*0.1+(IF(OR(G46="",G46=0),2,IF((E46/G46)&lt;=200000,3,IF((E46/G46)&gt;=300000,1,2))))*0.1+(IF(F46="",2,IF(F46&lt;=200,3,IF(F46&gt;=400,1,2))))*0.1+(IF(T46="",2,IF(T46&lt;=2000,3,IF(T46&gt;=3000,1,2))))*0.2+(IF(V46="",2,IF(V46&lt;=15,3,IF(V46&gt;=30,1,2))))*0.15+(IF(W46="",2,IF(W46&lt;=15,3,IF(W46&gt;=25,1,2))))*0.1+(IF(U46="",2,IF(U46&lt;=5,3,IF(U46&gt;=15,1,2))))*0.1+(IF(J46="Yes",3,IF(J46="No",1,2)))*0.05+(IF(OR(K46="",UPPER(TRIM(K46))="UNKNOWN"),2,IF(OR(UPPER(TRIM(K46))="NONE",ISNUMBER(SEARCH("no parking",K46))),1,3)))*0.05+(IF(AND(ISNUMBER(I46),I46&gt;=900),3,IF(AND(ISNUMBER(G46),G46&gt;=2),3,IF(AND(ISNUMBER(I46),I46&gt;=700),2,IF(AND(ISNUMBER(I46),I46&lt;700),1,2)))))*0.05</f>
        <v/>
      </c>
      <c r="Y46">
        <f>IF(X46&gt;=2.3,"Green",IF(X46&gt;=1.7,"Yellow","Red"))</f>
        <v/>
      </c>
    </row>
    <row r="47">
      <c r="A47" s="9" t="inlineStr">
        <is>
          <t>52 Strathmore Rd #44, Brighton, MA 02135</t>
        </is>
      </c>
      <c r="B47" t="inlineStr">
        <is>
          <t>Brighton</t>
        </is>
      </c>
      <c r="C47" s="6" t="inlineStr">
        <is>
          <t>https://www.redfin.com/MA/Brighton/52-Strathmore-Rd-02135/unit-44/home/9028771</t>
        </is>
      </c>
      <c r="D47" s="7" t="inlineStr">
        <is>
          <t>2026-05-12</t>
        </is>
      </c>
      <c r="E47" s="3" t="n">
        <v>339900</v>
      </c>
      <c r="F47" s="3" t="n">
        <v>349</v>
      </c>
      <c r="G47" t="n">
        <v>0</v>
      </c>
      <c r="H47" t="n">
        <v>1</v>
      </c>
      <c r="I47" s="4" t="n">
        <v>407</v>
      </c>
      <c r="J47" t="inlineStr">
        <is>
          <t>No</t>
        </is>
      </c>
      <c r="K47" t="inlineStr">
        <is>
          <t>0 spaces</t>
        </is>
      </c>
      <c r="L47" s="3">
        <f>Assumptions!B3</f>
        <v/>
      </c>
      <c r="M47" s="3">
        <f>E47-L47</f>
        <v/>
      </c>
      <c r="N47" s="3">
        <f>-PMT(Assumptions!B2/12,Assumptions!B4*12,M47)</f>
        <v/>
      </c>
      <c r="O47" s="3">
        <f>E47*Assumptions!B5/12</f>
        <v/>
      </c>
      <c r="P47" s="3">
        <f>Assumptions!B6</f>
        <v/>
      </c>
      <c r="Q47" s="3">
        <f>Assumptions!B7+Assumptions!B8</f>
        <v/>
      </c>
      <c r="R47" s="3">
        <f>N47+F47+O47+P47+Q47</f>
        <v/>
      </c>
      <c r="S47" s="3" t="n">
        <v>0</v>
      </c>
      <c r="T47" s="3">
        <f>R47-S47*MAX(IFERROR(G47-1,0),0)</f>
        <v/>
      </c>
      <c r="U47" t="n">
        <v>0.4</v>
      </c>
      <c r="V47" t="n">
        <v>16.3</v>
      </c>
      <c r="W47" t="n">
        <v>13.1</v>
      </c>
      <c r="X47" s="8">
        <f>(IF(E47="",2,IF(E47&lt;=400000,3,IF(E47&gt;=500000,1,2))))*0.1+(IF(OR(G47="",G47=0),2,IF((E47/G47)&lt;=200000,3,IF((E47/G47)&gt;=300000,1,2))))*0.1+(IF(F47="",2,IF(F47&lt;=200,3,IF(F47&gt;=400,1,2))))*0.1+(IF(T47="",2,IF(T47&lt;=2000,3,IF(T47&gt;=3000,1,2))))*0.2+(IF(V47="",2,IF(V47&lt;=15,3,IF(V47&gt;=30,1,2))))*0.15+(IF(W47="",2,IF(W47&lt;=15,3,IF(W47&gt;=25,1,2))))*0.1+(IF(U47="",2,IF(U47&lt;=5,3,IF(U47&gt;=15,1,2))))*0.1+(IF(J47="Yes",3,IF(J47="No",1,2)))*0.05+(IF(OR(K47="",UPPER(TRIM(K47))="UNKNOWN"),2,IF(OR(UPPER(TRIM(K47))="NONE",ISNUMBER(SEARCH("no parking",K47))),1,3)))*0.05+(IF(AND(ISNUMBER(I47),I47&gt;=900),3,IF(AND(ISNUMBER(G47),G47&gt;=2),3,IF(AND(ISNUMBER(I47),I47&gt;=700),2,IF(AND(ISNUMBER(I47),I47&lt;700),1,2)))))*0.05</f>
        <v/>
      </c>
      <c r="Y47">
        <f>IF(X47&gt;=2.3,"Green",IF(X47&gt;=1.7,"Yellow","Red"))</f>
        <v/>
      </c>
    </row>
    <row r="48">
      <c r="A48" s="9" t="inlineStr">
        <is>
          <t>32 Sidlaw #6, Brighton, MA 02135</t>
        </is>
      </c>
      <c r="B48" t="inlineStr">
        <is>
          <t>Brighton</t>
        </is>
      </c>
      <c r="C48" s="6" t="inlineStr">
        <is>
          <t>https://www.redfin.com/MA/Brighton/32-Sidlaw-Rd-02135/unit-6/home/9006968</t>
        </is>
      </c>
      <c r="D48" s="7" t="n"/>
      <c r="E48" s="3" t="n">
        <v>335000</v>
      </c>
      <c r="F48" s="3" t="n">
        <v>332</v>
      </c>
      <c r="G48" t="n">
        <v>0</v>
      </c>
      <c r="H48" t="n">
        <v>1</v>
      </c>
      <c r="I48" s="4" t="n">
        <v>346</v>
      </c>
      <c r="J48" t="inlineStr">
        <is>
          <t>No</t>
        </is>
      </c>
      <c r="K48" t="inlineStr">
        <is>
          <t>0 spaces</t>
        </is>
      </c>
      <c r="L48" s="3">
        <f>Assumptions!B3</f>
        <v/>
      </c>
      <c r="M48" s="3">
        <f>E48-L48</f>
        <v/>
      </c>
      <c r="N48" s="3">
        <f>-PMT(Assumptions!B2/12,Assumptions!B4*12,M48)</f>
        <v/>
      </c>
      <c r="O48" s="3">
        <f>E48*Assumptions!B5/12</f>
        <v/>
      </c>
      <c r="P48" s="3">
        <f>Assumptions!B6</f>
        <v/>
      </c>
      <c r="Q48" s="3">
        <f>Assumptions!B7+Assumptions!B8</f>
        <v/>
      </c>
      <c r="R48" s="3">
        <f>N48+F48+O48+P48+Q48</f>
        <v/>
      </c>
      <c r="S48" s="3" t="n">
        <v>0</v>
      </c>
      <c r="T48" s="3">
        <f>R48-S48*MAX(IFERROR(G48-1,0),0)</f>
        <v/>
      </c>
      <c r="U48" t="n">
        <v>1.2</v>
      </c>
      <c r="V48" t="n">
        <v>16.1</v>
      </c>
      <c r="W48" t="n">
        <v>14.5</v>
      </c>
      <c r="X48" s="8">
        <f>(IF(E48="",2,IF(E48&lt;=400000,3,IF(E48&gt;=500000,1,2))))*0.1+(IF(OR(G48="",G48=0),2,IF((E48/G48)&lt;=200000,3,IF((E48/G48)&gt;=300000,1,2))))*0.1+(IF(F48="",2,IF(F48&lt;=200,3,IF(F48&gt;=400,1,2))))*0.1+(IF(T48="",2,IF(T48&lt;=2000,3,IF(T48&gt;=3000,1,2))))*0.2+(IF(V48="",2,IF(V48&lt;=15,3,IF(V48&gt;=30,1,2))))*0.15+(IF(W48="",2,IF(W48&lt;=15,3,IF(W48&gt;=25,1,2))))*0.1+(IF(U48="",2,IF(U48&lt;=5,3,IF(U48&gt;=15,1,2))))*0.1+(IF(J48="Yes",3,IF(J48="No",1,2)))*0.05+(IF(OR(K48="",UPPER(TRIM(K48))="UNKNOWN"),2,IF(OR(UPPER(TRIM(K48))="NONE",ISNUMBER(SEARCH("no parking",K48))),1,3)))*0.05+(IF(AND(ISNUMBER(I48),I48&gt;=900),3,IF(AND(ISNUMBER(G48),G48&gt;=2),3,IF(AND(ISNUMBER(I48),I48&gt;=700),2,IF(AND(ISNUMBER(I48),I48&lt;700),1,2)))))*0.05</f>
        <v/>
      </c>
      <c r="Y48">
        <f>IF(X48&gt;=2.3,"Green",IF(X48&gt;=1.7,"Yellow","Red"))</f>
        <v/>
      </c>
    </row>
    <row r="49">
      <c r="A49" s="9" t="inlineStr">
        <is>
          <t>115 W Squantum St #203, Quincy, MA 02171</t>
        </is>
      </c>
      <c r="B49" t="inlineStr">
        <is>
          <t>Quincy</t>
        </is>
      </c>
      <c r="C49" s="6" t="inlineStr">
        <is>
          <t>https://www.redfin.com/MA/Quincy/115-W-Squantum-St-02171/unit-203/home/11722276</t>
        </is>
      </c>
      <c r="D49" s="7" t="n"/>
      <c r="E49" s="3" t="n">
        <v>390000</v>
      </c>
      <c r="F49" s="3" t="n">
        <v>370</v>
      </c>
      <c r="G49" t="n">
        <v>1</v>
      </c>
      <c r="H49" t="n">
        <v>1</v>
      </c>
      <c r="I49" s="4" t="n">
        <v>765</v>
      </c>
      <c r="J49" t="inlineStr">
        <is>
          <t>No</t>
        </is>
      </c>
      <c r="K49" t="inlineStr">
        <is>
          <t>1 space</t>
        </is>
      </c>
      <c r="L49" s="3">
        <f>Assumptions!B3</f>
        <v/>
      </c>
      <c r="M49" s="3">
        <f>E49-L49</f>
        <v/>
      </c>
      <c r="N49" s="3">
        <f>-PMT(Assumptions!B2/12,Assumptions!B4*12,M49)</f>
        <v/>
      </c>
      <c r="O49" s="3">
        <f>E49*Assumptions!B5/12</f>
        <v/>
      </c>
      <c r="P49" s="3">
        <f>Assumptions!B6</f>
        <v/>
      </c>
      <c r="Q49" s="3">
        <f>Assumptions!B7+Assumptions!B8</f>
        <v/>
      </c>
      <c r="R49" s="3">
        <f>N49+F49+O49+P49+Q49</f>
        <v/>
      </c>
      <c r="S49" s="3" t="n">
        <v>0</v>
      </c>
      <c r="T49" s="3">
        <f>R49-S49*MAX(IFERROR(G49-1,0),0)</f>
        <v/>
      </c>
      <c r="U49" t="n">
        <v>2.6</v>
      </c>
      <c r="V49" t="n">
        <v>13.4</v>
      </c>
      <c r="W49" t="n">
        <v>17.4</v>
      </c>
      <c r="X49" s="8">
        <f>(IF(E49="",2,IF(E49&lt;=400000,3,IF(E49&gt;=500000,1,2))))*0.1+(IF(OR(G49="",G49=0),2,IF((E49/G49)&lt;=200000,3,IF((E49/G49)&gt;=300000,1,2))))*0.1+(IF(F49="",2,IF(F49&lt;=200,3,IF(F49&gt;=400,1,2))))*0.1+(IF(T49="",2,IF(T49&lt;=2000,3,IF(T49&gt;=3000,1,2))))*0.2+(IF(V49="",2,IF(V49&lt;=15,3,IF(V49&gt;=30,1,2))))*0.15+(IF(W49="",2,IF(W49&lt;=15,3,IF(W49&gt;=25,1,2))))*0.1+(IF(U49="",2,IF(U49&lt;=5,3,IF(U49&gt;=15,1,2))))*0.1+(IF(J49="Yes",3,IF(J49="No",1,2)))*0.05+(IF(OR(K49="",UPPER(TRIM(K49))="UNKNOWN"),2,IF(OR(UPPER(TRIM(K49))="NONE",ISNUMBER(SEARCH("no parking",K49))),1,3)))*0.05+(IF(AND(ISNUMBER(I49),I49&gt;=900),3,IF(AND(ISNUMBER(G49),G49&gt;=2),3,IF(AND(ISNUMBER(I49),I49&gt;=700),2,IF(AND(ISNUMBER(I49),I49&lt;700),1,2)))))*0.05</f>
        <v/>
      </c>
      <c r="Y49">
        <f>IF(X49&gt;=2.3,"Green",IF(X49&gt;=1.7,"Yellow","Red"))</f>
        <v/>
      </c>
    </row>
    <row r="50">
      <c r="A50" s="9" t="inlineStr">
        <is>
          <t>95 2nd St #3, Cambridge, MA 02141</t>
        </is>
      </c>
      <c r="B50" t="inlineStr">
        <is>
          <t>Cambridge</t>
        </is>
      </c>
      <c r="C50" s="6" t="inlineStr">
        <is>
          <t>https://www.redfin.com/MA/Cambridge/95-Second-St-02141/unit-3/home/22200369</t>
        </is>
      </c>
      <c r="D50" s="7" t="inlineStr">
        <is>
          <t>2026-04-02</t>
        </is>
      </c>
      <c r="E50" s="3" t="n">
        <v>560000</v>
      </c>
      <c r="F50" s="3" t="n">
        <v>500</v>
      </c>
      <c r="G50" t="n">
        <v>2</v>
      </c>
      <c r="H50" t="n">
        <v>1</v>
      </c>
      <c r="I50" s="4" t="n">
        <v>507</v>
      </c>
      <c r="J50" t="inlineStr">
        <is>
          <t>No</t>
        </is>
      </c>
      <c r="K50" t="inlineStr">
        <is>
          <t>0 spaces</t>
        </is>
      </c>
      <c r="L50" s="3">
        <f>Assumptions!B3</f>
        <v/>
      </c>
      <c r="M50" s="3">
        <f>E50-L50</f>
        <v/>
      </c>
      <c r="N50" s="3">
        <f>-PMT(Assumptions!B2/12,Assumptions!B4*12,M50)</f>
        <v/>
      </c>
      <c r="O50" s="3">
        <f>E50*Assumptions!B5/12</f>
        <v/>
      </c>
      <c r="P50" s="3">
        <f>Assumptions!B6</f>
        <v/>
      </c>
      <c r="Q50" s="3">
        <f>Assumptions!B7+Assumptions!B8</f>
        <v/>
      </c>
      <c r="R50" s="3">
        <f>N50+F50+O50+P50+Q50</f>
        <v/>
      </c>
      <c r="S50" s="3" t="n">
        <v>1625</v>
      </c>
      <c r="T50" s="3">
        <f>R50-S50*MAX(IFERROR(G50-1,0),0)</f>
        <v/>
      </c>
      <c r="U50" t="n">
        <v>1.1</v>
      </c>
      <c r="V50" t="n">
        <v>7.5</v>
      </c>
      <c r="W50" t="n">
        <v>2.1</v>
      </c>
      <c r="X50" s="8">
        <f>(IF(E50="",2,IF(E50&lt;=400000,3,IF(E50&gt;=500000,1,2))))*0.1+(IF(OR(G50="",G50=0),2,IF((E50/G50)&lt;=200000,3,IF((E50/G50)&gt;=300000,1,2))))*0.1+(IF(F50="",2,IF(F50&lt;=200,3,IF(F50&gt;=400,1,2))))*0.1+(IF(T50="",2,IF(T50&lt;=2000,3,IF(T50&gt;=3000,1,2))))*0.2+(IF(V50="",2,IF(V50&lt;=15,3,IF(V50&gt;=30,1,2))))*0.15+(IF(W50="",2,IF(W50&lt;=15,3,IF(W50&gt;=25,1,2))))*0.1+(IF(U50="",2,IF(U50&lt;=5,3,IF(U50&gt;=15,1,2))))*0.1+(IF(J50="Yes",3,IF(J50="No",1,2)))*0.05+(IF(OR(K50="",UPPER(TRIM(K50))="UNKNOWN"),2,IF(OR(UPPER(TRIM(K50))="NONE",ISNUMBER(SEARCH("no parking",K50))),1,3)))*0.05+(IF(AND(ISNUMBER(I50),I50&gt;=900),3,IF(AND(ISNUMBER(G50),G50&gt;=2),3,IF(AND(ISNUMBER(I50),I50&gt;=700),2,IF(AND(ISNUMBER(I50),I50&lt;700),1,2)))))*0.05</f>
        <v/>
      </c>
      <c r="Y50">
        <f>IF(X50&gt;=2.3,"Green",IF(X50&gt;=1.7,"Yellow","Red"))</f>
        <v/>
      </c>
    </row>
    <row r="51">
      <c r="A51" s="9" t="inlineStr">
        <is>
          <t>80 Main St #9, Malden, MA 02148</t>
        </is>
      </c>
      <c r="B51" t="inlineStr">
        <is>
          <t>Malden</t>
        </is>
      </c>
      <c r="C51" s="6" t="inlineStr">
        <is>
          <t>https://www.redfin.com/MA/Malden/80-Main-St-02148/unit-9/home/11391543</t>
        </is>
      </c>
      <c r="D51" s="7" t="inlineStr">
        <is>
          <t>2026-02-12</t>
        </is>
      </c>
      <c r="E51" s="3" t="n">
        <v>355900</v>
      </c>
      <c r="F51" s="3" t="n">
        <v>426</v>
      </c>
      <c r="G51" t="n">
        <v>1</v>
      </c>
      <c r="H51" t="n">
        <v>1</v>
      </c>
      <c r="I51" s="4" t="n">
        <v>605</v>
      </c>
      <c r="J51" t="inlineStr">
        <is>
          <t>No</t>
        </is>
      </c>
      <c r="K51" t="inlineStr">
        <is>
          <t>1 space</t>
        </is>
      </c>
      <c r="L51" s="3">
        <f>Assumptions!B3</f>
        <v/>
      </c>
      <c r="M51" s="3">
        <f>E51-L51</f>
        <v/>
      </c>
      <c r="N51" s="3">
        <f>-PMT(Assumptions!B2/12,Assumptions!B4*12,M51)</f>
        <v/>
      </c>
      <c r="O51" s="3">
        <f>E51*Assumptions!B5/12</f>
        <v/>
      </c>
      <c r="P51" s="3">
        <f>Assumptions!B6</f>
        <v/>
      </c>
      <c r="Q51" s="3">
        <f>Assumptions!B7+Assumptions!B8</f>
        <v/>
      </c>
      <c r="R51" s="3">
        <f>N51+F51+O51+P51+Q51</f>
        <v/>
      </c>
      <c r="S51" s="3" t="n">
        <v>0</v>
      </c>
      <c r="T51" s="3">
        <f>R51-S51*MAX(IFERROR(G51-1,0),0)</f>
        <v/>
      </c>
      <c r="U51" t="n">
        <v>2.3</v>
      </c>
      <c r="V51" t="n">
        <v>12.4</v>
      </c>
      <c r="W51" t="n">
        <v>10</v>
      </c>
      <c r="X51" s="8">
        <f>(IF(E51="",2,IF(E51&lt;=400000,3,IF(E51&gt;=500000,1,2))))*0.1+(IF(OR(G51="",G51=0),2,IF((E51/G51)&lt;=200000,3,IF((E51/G51)&gt;=300000,1,2))))*0.1+(IF(F51="",2,IF(F51&lt;=200,3,IF(F51&gt;=400,1,2))))*0.1+(IF(T51="",2,IF(T51&lt;=2000,3,IF(T51&gt;=3000,1,2))))*0.2+(IF(V51="",2,IF(V51&lt;=15,3,IF(V51&gt;=30,1,2))))*0.15+(IF(W51="",2,IF(W51&lt;=15,3,IF(W51&gt;=25,1,2))))*0.1+(IF(U51="",2,IF(U51&lt;=5,3,IF(U51&gt;=15,1,2))))*0.1+(IF(J51="Yes",3,IF(J51="No",1,2)))*0.05+(IF(OR(K51="",UPPER(TRIM(K51))="UNKNOWN"),2,IF(OR(UPPER(TRIM(K51))="NONE",ISNUMBER(SEARCH("no parking",K51))),1,3)))*0.05+(IF(AND(ISNUMBER(I51),I51&gt;=900),3,IF(AND(ISNUMBER(G51),G51&gt;=2),3,IF(AND(ISNUMBER(I51),I51&gt;=700),2,IF(AND(ISNUMBER(I51),I51&lt;700),1,2)))))*0.05</f>
        <v/>
      </c>
      <c r="Y51">
        <f>IF(X51&gt;=2.3,"Green",IF(X51&gt;=1.7,"Yellow","Red"))</f>
        <v/>
      </c>
    </row>
    <row r="52">
      <c r="A52" s="9" t="inlineStr">
        <is>
          <t>80 Main St #4, Malden, MA 02148</t>
        </is>
      </c>
      <c r="B52" t="inlineStr">
        <is>
          <t>Malden</t>
        </is>
      </c>
      <c r="C52" s="6" t="inlineStr">
        <is>
          <t>https://www.redfin.com/MA/Malden/80-Main-St-02148/unit-4/home/11391525</t>
        </is>
      </c>
      <c r="D52" s="7" t="inlineStr">
        <is>
          <t>2026-01-20</t>
        </is>
      </c>
      <c r="E52" s="3" t="n">
        <v>335000</v>
      </c>
      <c r="F52" s="3" t="n">
        <v>430</v>
      </c>
      <c r="G52" t="n">
        <v>1</v>
      </c>
      <c r="H52" t="n">
        <v>1</v>
      </c>
      <c r="I52" s="4" t="n">
        <v>578</v>
      </c>
      <c r="J52" t="inlineStr">
        <is>
          <t>No</t>
        </is>
      </c>
      <c r="K52" t="inlineStr">
        <is>
          <t>1 space</t>
        </is>
      </c>
      <c r="L52" s="3">
        <f>Assumptions!B3</f>
        <v/>
      </c>
      <c r="M52" s="3">
        <f>E52-L52</f>
        <v/>
      </c>
      <c r="N52" s="3">
        <f>-PMT(Assumptions!B2/12,Assumptions!B4*12,M52)</f>
        <v/>
      </c>
      <c r="O52" s="3">
        <f>E52*Assumptions!B5/12</f>
        <v/>
      </c>
      <c r="P52" s="3">
        <f>Assumptions!B6</f>
        <v/>
      </c>
      <c r="Q52" s="3">
        <f>Assumptions!B7+Assumptions!B8</f>
        <v/>
      </c>
      <c r="R52" s="3">
        <f>N52+F52+O52+P52+Q52</f>
        <v/>
      </c>
      <c r="S52" s="3" t="n">
        <v>0</v>
      </c>
      <c r="T52" s="3">
        <f>R52-S52*MAX(IFERROR(G52-1,0),0)</f>
        <v/>
      </c>
      <c r="U52" t="n">
        <v>2.3</v>
      </c>
      <c r="V52" t="n">
        <v>12.4</v>
      </c>
      <c r="W52" t="n">
        <v>10</v>
      </c>
      <c r="X52" s="8">
        <f>(IF(E52="",2,IF(E52&lt;=400000,3,IF(E52&gt;=500000,1,2))))*0.1+(IF(OR(G52="",G52=0),2,IF((E52/G52)&lt;=200000,3,IF((E52/G52)&gt;=300000,1,2))))*0.1+(IF(F52="",2,IF(F52&lt;=200,3,IF(F52&gt;=400,1,2))))*0.1+(IF(T52="",2,IF(T52&lt;=2000,3,IF(T52&gt;=3000,1,2))))*0.2+(IF(V52="",2,IF(V52&lt;=15,3,IF(V52&gt;=30,1,2))))*0.15+(IF(W52="",2,IF(W52&lt;=15,3,IF(W52&gt;=25,1,2))))*0.1+(IF(U52="",2,IF(U52&lt;=5,3,IF(U52&gt;=15,1,2))))*0.1+(IF(J52="Yes",3,IF(J52="No",1,2)))*0.05+(IF(OR(K52="",UPPER(TRIM(K52))="UNKNOWN"),2,IF(OR(UPPER(TRIM(K52))="NONE",ISNUMBER(SEARCH("no parking",K52))),1,3)))*0.05+(IF(AND(ISNUMBER(I52),I52&gt;=900),3,IF(AND(ISNUMBER(G52),G52&gt;=2),3,IF(AND(ISNUMBER(I52),I52&gt;=700),2,IF(AND(ISNUMBER(I52),I52&lt;700),1,2)))))*0.05</f>
        <v/>
      </c>
      <c r="Y52">
        <f>IF(X52&gt;=2.3,"Green",IF(X52&gt;=1.7,"Yellow","Red"))</f>
        <v/>
      </c>
    </row>
    <row r="53">
      <c r="A53" s="9" t="inlineStr">
        <is>
          <t>1269 Commonwealth Ave #11, Allston, MA 02134</t>
        </is>
      </c>
      <c r="B53" t="inlineStr">
        <is>
          <t>Allston</t>
        </is>
      </c>
      <c r="C53" s="6" t="inlineStr">
        <is>
          <t>https://www.redfin.com/MA/Allston/1269-Commonwealth-Ave-02134/unit-11/home/8995611</t>
        </is>
      </c>
      <c r="D53" s="7" t="inlineStr">
        <is>
          <t>2026-05-02</t>
        </is>
      </c>
      <c r="E53" s="3" t="n">
        <v>530000</v>
      </c>
      <c r="F53" s="3" t="n">
        <v>424</v>
      </c>
      <c r="G53" t="n">
        <v>2</v>
      </c>
      <c r="H53" t="n">
        <v>1</v>
      </c>
      <c r="I53" s="4" t="n">
        <v>815</v>
      </c>
      <c r="J53" t="inlineStr">
        <is>
          <t>No</t>
        </is>
      </c>
      <c r="K53" t="inlineStr">
        <is>
          <t>0 spaces</t>
        </is>
      </c>
      <c r="L53" s="3">
        <f>Assumptions!B3</f>
        <v/>
      </c>
      <c r="M53" s="3">
        <f>E53-L53</f>
        <v/>
      </c>
      <c r="N53" s="3">
        <f>-PMT(Assumptions!B2/12,Assumptions!B4*12,M53)</f>
        <v/>
      </c>
      <c r="O53" s="3">
        <f>E53*Assumptions!B5/12</f>
        <v/>
      </c>
      <c r="P53" s="3">
        <f>Assumptions!B6</f>
        <v/>
      </c>
      <c r="Q53" s="3">
        <f>Assumptions!B7+Assumptions!B8</f>
        <v/>
      </c>
      <c r="R53" s="3">
        <f>N53+F53+O53+P53+Q53</f>
        <v/>
      </c>
      <c r="S53" s="3" t="n">
        <v>1235</v>
      </c>
      <c r="T53" s="3">
        <f>R53-S53*MAX(IFERROR(G53-1,0),0)</f>
        <v/>
      </c>
      <c r="U53" t="n">
        <v>1.1</v>
      </c>
      <c r="V53" t="n">
        <v>11.8</v>
      </c>
      <c r="W53" t="n">
        <v>11.5</v>
      </c>
      <c r="X53" s="8">
        <f>(IF(E53="",2,IF(E53&lt;=400000,3,IF(E53&gt;=500000,1,2))))*0.1+(IF(OR(G53="",G53=0),2,IF((E53/G53)&lt;=200000,3,IF((E53/G53)&gt;=300000,1,2))))*0.1+(IF(F53="",2,IF(F53&lt;=200,3,IF(F53&gt;=400,1,2))))*0.1+(IF(T53="",2,IF(T53&lt;=2000,3,IF(T53&gt;=3000,1,2))))*0.2+(IF(V53="",2,IF(V53&lt;=15,3,IF(V53&gt;=30,1,2))))*0.15+(IF(W53="",2,IF(W53&lt;=15,3,IF(W53&gt;=25,1,2))))*0.1+(IF(U53="",2,IF(U53&lt;=5,3,IF(U53&gt;=15,1,2))))*0.1+(IF(J53="Yes",3,IF(J53="No",1,2)))*0.05+(IF(OR(K53="",UPPER(TRIM(K53))="UNKNOWN"),2,IF(OR(UPPER(TRIM(K53))="NONE",ISNUMBER(SEARCH("no parking",K53))),1,3)))*0.05+(IF(AND(ISNUMBER(I53),I53&gt;=900),3,IF(AND(ISNUMBER(G53),G53&gt;=2),3,IF(AND(ISNUMBER(I53),I53&gt;=700),2,IF(AND(ISNUMBER(I53),I53&lt;700),1,2)))))*0.05</f>
        <v/>
      </c>
      <c r="Y53">
        <f>IF(X53&gt;=2.3,"Green",IF(X53&gt;=1.7,"Yellow","Red"))</f>
        <v/>
      </c>
    </row>
    <row r="54">
      <c r="A54" s="9" t="inlineStr">
        <is>
          <t>6 Bedford St Unit 1F, Somerville, MA 02143</t>
        </is>
      </c>
      <c r="B54" t="inlineStr">
        <is>
          <t>Somerville</t>
        </is>
      </c>
      <c r="C54" s="6" t="inlineStr">
        <is>
          <t>https://www.redfin.com/MA/Somerville/6-Bedford-St-02143/unit-1F/home/8759477</t>
        </is>
      </c>
      <c r="D54" s="7" t="inlineStr">
        <is>
          <t>2026-05-07</t>
        </is>
      </c>
      <c r="E54" s="3" t="n">
        <v>419000</v>
      </c>
      <c r="F54" s="3" t="n">
        <v>318</v>
      </c>
      <c r="G54" t="n">
        <v>1</v>
      </c>
      <c r="H54" t="n">
        <v>1</v>
      </c>
      <c r="I54" s="4" t="n">
        <v>426</v>
      </c>
      <c r="J54" t="inlineStr">
        <is>
          <t>No</t>
        </is>
      </c>
      <c r="K54" t="inlineStr">
        <is>
          <t>0 spaces</t>
        </is>
      </c>
      <c r="L54" s="3">
        <f>Assumptions!B3</f>
        <v/>
      </c>
      <c r="M54" s="3">
        <f>E54-L54</f>
        <v/>
      </c>
      <c r="N54" s="3">
        <f>-PMT(Assumptions!B2/12,Assumptions!B4*12,M54)</f>
        <v/>
      </c>
      <c r="O54" s="3">
        <f>E54*Assumptions!B5/12</f>
        <v/>
      </c>
      <c r="P54" s="3">
        <f>Assumptions!B6</f>
        <v/>
      </c>
      <c r="Q54" s="3">
        <f>Assumptions!B7+Assumptions!B8</f>
        <v/>
      </c>
      <c r="R54" s="3">
        <f>N54+F54+O54+P54+Q54</f>
        <v/>
      </c>
      <c r="S54" s="3" t="n">
        <v>0</v>
      </c>
      <c r="T54" s="3">
        <f>R54-S54*MAX(IFERROR(G54-1,0),0)</f>
        <v/>
      </c>
      <c r="U54" t="n">
        <v>2.7</v>
      </c>
      <c r="V54" t="n">
        <v>9.300000000000001</v>
      </c>
      <c r="W54" t="n">
        <v>4.6</v>
      </c>
      <c r="X54" s="8">
        <f>(IF(E54="",2,IF(E54&lt;=400000,3,IF(E54&gt;=500000,1,2))))*0.1+(IF(OR(G54="",G54=0),2,IF((E54/G54)&lt;=200000,3,IF((E54/G54)&gt;=300000,1,2))))*0.1+(IF(F54="",2,IF(F54&lt;=200,3,IF(F54&gt;=400,1,2))))*0.1+(IF(T54="",2,IF(T54&lt;=2000,3,IF(T54&gt;=3000,1,2))))*0.2+(IF(V54="",2,IF(V54&lt;=15,3,IF(V54&gt;=30,1,2))))*0.15+(IF(W54="",2,IF(W54&lt;=15,3,IF(W54&gt;=25,1,2))))*0.1+(IF(U54="",2,IF(U54&lt;=5,3,IF(U54&gt;=15,1,2))))*0.1+(IF(J54="Yes",3,IF(J54="No",1,2)))*0.05+(IF(OR(K54="",UPPER(TRIM(K54))="UNKNOWN"),2,IF(OR(UPPER(TRIM(K54))="NONE",ISNUMBER(SEARCH("no parking",K54))),1,3)))*0.05+(IF(AND(ISNUMBER(I54),I54&gt;=900),3,IF(AND(ISNUMBER(G54),G54&gt;=2),3,IF(AND(ISNUMBER(I54),I54&gt;=700),2,IF(AND(ISNUMBER(I54),I54&lt;700),1,2)))))*0.05</f>
        <v/>
      </c>
      <c r="Y54">
        <f>IF(X54&gt;=2.3,"Green",IF(X54&gt;=1.7,"Yellow","Red"))</f>
        <v/>
      </c>
    </row>
    <row r="55">
      <c r="A55" s="9" t="inlineStr">
        <is>
          <t>35 Westbourne Ter #2, Brookline, MA 02446</t>
        </is>
      </c>
      <c r="B55" t="inlineStr">
        <is>
          <t>Brookline</t>
        </is>
      </c>
      <c r="C55" s="6" t="inlineStr">
        <is>
          <t>https://www.redfin.com/MA/Brookline/35-Westbourne-Ter-02446/unit-2/home/11454555</t>
        </is>
      </c>
      <c r="D55" s="7" t="inlineStr">
        <is>
          <t>2026-05-09</t>
        </is>
      </c>
      <c r="E55" s="3" t="n">
        <v>570000</v>
      </c>
      <c r="F55" s="3" t="n">
        <v>476</v>
      </c>
      <c r="G55" t="n">
        <v>2</v>
      </c>
      <c r="H55" t="n">
        <v>1</v>
      </c>
      <c r="I55" s="4" t="n">
        <v>820</v>
      </c>
      <c r="J55" t="inlineStr">
        <is>
          <t>No</t>
        </is>
      </c>
      <c r="K55" t="inlineStr">
        <is>
          <t>0 spaces</t>
        </is>
      </c>
      <c r="L55" s="3">
        <f>Assumptions!B3</f>
        <v/>
      </c>
      <c r="M55" s="3">
        <f>E55-L55</f>
        <v/>
      </c>
      <c r="N55" s="3">
        <f>-PMT(Assumptions!B2/12,Assumptions!B4*12,M55)</f>
        <v/>
      </c>
      <c r="O55" s="3">
        <f>E55*Assumptions!B5/12</f>
        <v/>
      </c>
      <c r="P55" s="3">
        <f>Assumptions!B6</f>
        <v/>
      </c>
      <c r="Q55" s="3">
        <f>Assumptions!B7+Assumptions!B8</f>
        <v/>
      </c>
      <c r="R55" s="3">
        <f>N55+F55+O55+P55+Q55</f>
        <v/>
      </c>
      <c r="S55" s="3" t="n">
        <v>1560</v>
      </c>
      <c r="T55" s="3">
        <f>R55-S55*MAX(IFERROR(G55-1,0),0)</f>
        <v/>
      </c>
      <c r="U55" t="n">
        <v>1.6</v>
      </c>
      <c r="V55" t="n">
        <v>14.2</v>
      </c>
      <c r="W55" t="n">
        <v>13.1</v>
      </c>
      <c r="X55" s="8">
        <f>(IF(E55="",2,IF(E55&lt;=400000,3,IF(E55&gt;=500000,1,2))))*0.1+(IF(OR(G55="",G55=0),2,IF((E55/G55)&lt;=200000,3,IF((E55/G55)&gt;=300000,1,2))))*0.1+(IF(F55="",2,IF(F55&lt;=200,3,IF(F55&gt;=400,1,2))))*0.1+(IF(T55="",2,IF(T55&lt;=2000,3,IF(T55&gt;=3000,1,2))))*0.2+(IF(V55="",2,IF(V55&lt;=15,3,IF(V55&gt;=30,1,2))))*0.15+(IF(W55="",2,IF(W55&lt;=15,3,IF(W55&gt;=25,1,2))))*0.1+(IF(U55="",2,IF(U55&lt;=5,3,IF(U55&gt;=15,1,2))))*0.1+(IF(J55="Yes",3,IF(J55="No",1,2)))*0.05+(IF(OR(K55="",UPPER(TRIM(K55))="UNKNOWN"),2,IF(OR(UPPER(TRIM(K55))="NONE",ISNUMBER(SEARCH("no parking",K55))),1,3)))*0.05+(IF(AND(ISNUMBER(I55),I55&gt;=900),3,IF(AND(ISNUMBER(G55),G55&gt;=2),3,IF(AND(ISNUMBER(I55),I55&gt;=700),2,IF(AND(ISNUMBER(I55),I55&lt;700),1,2)))))*0.05</f>
        <v/>
      </c>
      <c r="Y55">
        <f>IF(X55&gt;=2.3,"Green",IF(X55&gt;=1.7,"Yellow","Red"))</f>
        <v/>
      </c>
    </row>
    <row r="56">
      <c r="A56" s="9" t="inlineStr">
        <is>
          <t>235 Winthrop St #4401, Medford, MA 02155</t>
        </is>
      </c>
      <c r="B56" t="inlineStr">
        <is>
          <t>Medford</t>
        </is>
      </c>
      <c r="C56" s="6" t="inlineStr">
        <is>
          <t>https://www.redfin.com/MA/Medford/235-Winthrop-St-02155/unit-4401/home/11789304</t>
        </is>
      </c>
      <c r="D56" s="7" t="inlineStr">
        <is>
          <t>2026-05-01</t>
        </is>
      </c>
      <c r="E56" s="3" t="n">
        <v>519900</v>
      </c>
      <c r="F56" s="3" t="n">
        <v>499</v>
      </c>
      <c r="G56" t="n">
        <v>2</v>
      </c>
      <c r="H56" t="n">
        <v>2</v>
      </c>
      <c r="I56" s="4" t="n">
        <v>1119</v>
      </c>
      <c r="J56" t="inlineStr">
        <is>
          <t>No</t>
        </is>
      </c>
      <c r="K56" t="inlineStr">
        <is>
          <t>1 space</t>
        </is>
      </c>
      <c r="L56" s="3">
        <f>Assumptions!B3</f>
        <v/>
      </c>
      <c r="M56" s="3">
        <f>E56-L56</f>
        <v/>
      </c>
      <c r="N56" s="3">
        <f>-PMT(Assumptions!B2/12,Assumptions!B4*12,M56)</f>
        <v/>
      </c>
      <c r="O56" s="3">
        <f>E56*Assumptions!B5/12</f>
        <v/>
      </c>
      <c r="P56" s="3">
        <f>Assumptions!B6</f>
        <v/>
      </c>
      <c r="Q56" s="3">
        <f>Assumptions!B7+Assumptions!B8</f>
        <v/>
      </c>
      <c r="R56" s="3">
        <f>N56+F56+O56+P56+Q56</f>
        <v/>
      </c>
      <c r="S56" s="3" t="n">
        <v>1235</v>
      </c>
      <c r="T56" s="3">
        <f>R56-S56*MAX(IFERROR(G56-1,0),0)</f>
        <v/>
      </c>
      <c r="U56" t="n">
        <v>2.8</v>
      </c>
      <c r="V56" t="n">
        <v>11.4</v>
      </c>
      <c r="W56" t="n">
        <v>11.6</v>
      </c>
      <c r="X56" s="8">
        <f>(IF(E56="",2,IF(E56&lt;=400000,3,IF(E56&gt;=500000,1,2))))*0.1+(IF(OR(G56="",G56=0),2,IF((E56/G56)&lt;=200000,3,IF((E56/G56)&gt;=300000,1,2))))*0.1+(IF(F56="",2,IF(F56&lt;=200,3,IF(F56&gt;=400,1,2))))*0.1+(IF(T56="",2,IF(T56&lt;=2000,3,IF(T56&gt;=3000,1,2))))*0.2+(IF(V56="",2,IF(V56&lt;=15,3,IF(V56&gt;=30,1,2))))*0.15+(IF(W56="",2,IF(W56&lt;=15,3,IF(W56&gt;=25,1,2))))*0.1+(IF(U56="",2,IF(U56&lt;=5,3,IF(U56&gt;=15,1,2))))*0.1+(IF(J56="Yes",3,IF(J56="No",1,2)))*0.05+(IF(OR(K56="",UPPER(TRIM(K56))="UNKNOWN"),2,IF(OR(UPPER(TRIM(K56))="NONE",ISNUMBER(SEARCH("no parking",K56))),1,3)))*0.05+(IF(AND(ISNUMBER(I56),I56&gt;=900),3,IF(AND(ISNUMBER(G56),G56&gt;=2),3,IF(AND(ISNUMBER(I56),I56&gt;=700),2,IF(AND(ISNUMBER(I56),I56&lt;700),1,2)))))*0.05</f>
        <v/>
      </c>
      <c r="Y56">
        <f>IF(X56&gt;=2.3,"Green",IF(X56&gt;=1.7,"Yellow","Red"))</f>
        <v/>
      </c>
    </row>
    <row r="57">
      <c r="A57" s="9" t="inlineStr">
        <is>
          <t>16 Arizona Ter #2, Arlington, MA 02474</t>
        </is>
      </c>
      <c r="B57" t="inlineStr">
        <is>
          <t>Medford</t>
        </is>
      </c>
      <c r="C57" s="6" t="inlineStr">
        <is>
          <t>https://www.redfin.com/MA/Arlington/16-Arizona-Ter-02474/unit-2/home/8412340</t>
        </is>
      </c>
      <c r="D57" s="7" t="inlineStr">
        <is>
          <t>2026-05-10</t>
        </is>
      </c>
      <c r="E57" s="3" t="n">
        <v>329900</v>
      </c>
      <c r="F57" s="3" t="n">
        <v>433</v>
      </c>
      <c r="G57" t="n">
        <v>1</v>
      </c>
      <c r="H57" t="n">
        <v>1</v>
      </c>
      <c r="I57" s="4" t="n">
        <v>461</v>
      </c>
      <c r="J57" t="inlineStr">
        <is>
          <t>No</t>
        </is>
      </c>
      <c r="K57" t="inlineStr">
        <is>
          <t>1 space</t>
        </is>
      </c>
      <c r="L57" s="3">
        <f>Assumptions!B3</f>
        <v/>
      </c>
      <c r="M57" s="3">
        <f>E57-L57</f>
        <v/>
      </c>
      <c r="N57" s="3">
        <f>-PMT(Assumptions!B2/12,Assumptions!B4*12,M57)</f>
        <v/>
      </c>
      <c r="O57" s="3">
        <f>E57*Assumptions!B5/12</f>
        <v/>
      </c>
      <c r="P57" s="3">
        <f>Assumptions!B6</f>
        <v/>
      </c>
      <c r="Q57" s="3">
        <f>Assumptions!B7+Assumptions!B8</f>
        <v/>
      </c>
      <c r="R57" s="3">
        <f>N57+F57+O57+P57+Q57</f>
        <v/>
      </c>
      <c r="S57" s="3" t="n">
        <v>0</v>
      </c>
      <c r="T57" s="3">
        <f>R57-S57*MAX(IFERROR(G57-1,0),0)</f>
        <v/>
      </c>
      <c r="U57" t="n">
        <v>3.4</v>
      </c>
      <c r="V57" t="n">
        <v>14.4</v>
      </c>
      <c r="W57" t="n">
        <v>13.5</v>
      </c>
      <c r="X57" s="8">
        <f>(IF(E57="",2,IF(E57&lt;=400000,3,IF(E57&gt;=500000,1,2))))*0.1+(IF(OR(G57="",G57=0),2,IF((E57/G57)&lt;=200000,3,IF((E57/G57)&gt;=300000,1,2))))*0.1+(IF(F57="",2,IF(F57&lt;=200,3,IF(F57&gt;=400,1,2))))*0.1+(IF(T57="",2,IF(T57&lt;=2000,3,IF(T57&gt;=3000,1,2))))*0.2+(IF(V57="",2,IF(V57&lt;=15,3,IF(V57&gt;=30,1,2))))*0.15+(IF(W57="",2,IF(W57&lt;=15,3,IF(W57&gt;=25,1,2))))*0.1+(IF(U57="",2,IF(U57&lt;=5,3,IF(U57&gt;=15,1,2))))*0.1+(IF(J57="Yes",3,IF(J57="No",1,2)))*0.05+(IF(OR(K57="",UPPER(TRIM(K57))="UNKNOWN"),2,IF(OR(UPPER(TRIM(K57))="NONE",ISNUMBER(SEARCH("no parking",K57))),1,3)))*0.05+(IF(AND(ISNUMBER(I57),I57&gt;=900),3,IF(AND(ISNUMBER(G57),G57&gt;=2),3,IF(AND(ISNUMBER(I57),I57&gt;=700),2,IF(AND(ISNUMBER(I57),I57&lt;700),1,2)))))*0.05</f>
        <v/>
      </c>
      <c r="Y57">
        <f>IF(X57&gt;=2.3,"Green",IF(X57&gt;=1.7,"Yellow","Red"))</f>
        <v/>
      </c>
    </row>
    <row r="58">
      <c r="A58" s="9" t="inlineStr">
        <is>
          <t>1691 Commonwealth Ave #31, Brighton, MA 02135</t>
        </is>
      </c>
      <c r="B58" t="inlineStr">
        <is>
          <t>Brighton</t>
        </is>
      </c>
      <c r="C58" s="6" t="inlineStr">
        <is>
          <t>https://www.redfin.com/MA/Brighton/1691-Commonwealth-Ave-02135/unit-31/home/9020583</t>
        </is>
      </c>
      <c r="D58" s="7" t="n"/>
      <c r="E58" s="3" t="n">
        <v>414900</v>
      </c>
      <c r="F58" s="3" t="n">
        <v>360</v>
      </c>
      <c r="G58" t="n">
        <v>1</v>
      </c>
      <c r="H58" t="n">
        <v>1</v>
      </c>
      <c r="I58" s="4" t="n">
        <v>520</v>
      </c>
      <c r="J58" t="inlineStr">
        <is>
          <t>No</t>
        </is>
      </c>
      <c r="K58" t="inlineStr">
        <is>
          <t>0 spaces</t>
        </is>
      </c>
      <c r="L58" s="3">
        <f>Assumptions!B3</f>
        <v/>
      </c>
      <c r="M58" s="3">
        <f>E58-L58</f>
        <v/>
      </c>
      <c r="N58" s="3">
        <f>-PMT(Assumptions!B2/12,Assumptions!B4*12,M58)</f>
        <v/>
      </c>
      <c r="O58" s="3">
        <f>E58*Assumptions!B5/12</f>
        <v/>
      </c>
      <c r="P58" s="3">
        <f>Assumptions!B6</f>
        <v/>
      </c>
      <c r="Q58" s="3">
        <f>Assumptions!B7+Assumptions!B8</f>
        <v/>
      </c>
      <c r="R58" s="3">
        <f>N58+F58+O58+P58+Q58</f>
        <v/>
      </c>
      <c r="S58" s="3" t="n">
        <v>0</v>
      </c>
      <c r="T58" s="3">
        <f>R58-S58*MAX(IFERROR(G58-1,0),0)</f>
        <v/>
      </c>
      <c r="U58" t="n">
        <v>1.6</v>
      </c>
      <c r="V58" t="n">
        <v>14.9</v>
      </c>
      <c r="W58" t="n">
        <v>14.5</v>
      </c>
      <c r="X58" s="8">
        <f>(IF(E58="",2,IF(E58&lt;=400000,3,IF(E58&gt;=500000,1,2))))*0.1+(IF(OR(G58="",G58=0),2,IF((E58/G58)&lt;=200000,3,IF((E58/G58)&gt;=300000,1,2))))*0.1+(IF(F58="",2,IF(F58&lt;=200,3,IF(F58&gt;=400,1,2))))*0.1+(IF(T58="",2,IF(T58&lt;=2000,3,IF(T58&gt;=3000,1,2))))*0.2+(IF(V58="",2,IF(V58&lt;=15,3,IF(V58&gt;=30,1,2))))*0.15+(IF(W58="",2,IF(W58&lt;=15,3,IF(W58&gt;=25,1,2))))*0.1+(IF(U58="",2,IF(U58&lt;=5,3,IF(U58&gt;=15,1,2))))*0.1+(IF(J58="Yes",3,IF(J58="No",1,2)))*0.05+(IF(OR(K58="",UPPER(TRIM(K58))="UNKNOWN"),2,IF(OR(UPPER(TRIM(K58))="NONE",ISNUMBER(SEARCH("no parking",K58))),1,3)))*0.05+(IF(AND(ISNUMBER(I58),I58&gt;=900),3,IF(AND(ISNUMBER(G58),G58&gt;=2),3,IF(AND(ISNUMBER(I58),I58&gt;=700),2,IF(AND(ISNUMBER(I58),I58&lt;700),1,2)))))*0.05</f>
        <v/>
      </c>
      <c r="Y58">
        <f>IF(X58&gt;=2.3,"Green",IF(X58&gt;=1.7,"Yellow","Red"))</f>
        <v/>
      </c>
    </row>
    <row r="59">
      <c r="A59" s="9" t="inlineStr">
        <is>
          <t>17 Buckingham St #3, Somerville, MA 02143</t>
        </is>
      </c>
      <c r="B59" t="inlineStr">
        <is>
          <t>Somerville</t>
        </is>
      </c>
      <c r="C59" s="6" t="inlineStr">
        <is>
          <t>https://www.redfin.com/MA/Somerville/17-Buckingham-St-02143/unit-3/home/200344678</t>
        </is>
      </c>
      <c r="D59" s="7" t="n"/>
      <c r="E59" s="3" t="n">
        <v>474999</v>
      </c>
      <c r="F59" s="3" t="n">
        <v>233</v>
      </c>
      <c r="G59" t="n">
        <v>1</v>
      </c>
      <c r="H59" t="n">
        <v>1</v>
      </c>
      <c r="I59" s="4" t="n">
        <v>595</v>
      </c>
      <c r="J59" t="inlineStr">
        <is>
          <t>No</t>
        </is>
      </c>
      <c r="K59" t="inlineStr">
        <is>
          <t>1 space</t>
        </is>
      </c>
      <c r="L59" s="3">
        <f>Assumptions!B3</f>
        <v/>
      </c>
      <c r="M59" s="3">
        <f>E59-L59</f>
        <v/>
      </c>
      <c r="N59" s="3">
        <f>-PMT(Assumptions!B2/12,Assumptions!B4*12,M59)</f>
        <v/>
      </c>
      <c r="O59" s="3">
        <f>E59*Assumptions!B5/12</f>
        <v/>
      </c>
      <c r="P59" s="3">
        <f>Assumptions!B6</f>
        <v/>
      </c>
      <c r="Q59" s="3">
        <f>Assumptions!B7+Assumptions!B8</f>
        <v/>
      </c>
      <c r="R59" s="3">
        <f>N59+F59+O59+P59+Q59</f>
        <v/>
      </c>
      <c r="S59" s="3" t="n">
        <v>0</v>
      </c>
      <c r="T59" s="3">
        <f>R59-S59*MAX(IFERROR(G59-1,0),0)</f>
        <v/>
      </c>
      <c r="U59" t="n">
        <v>3.2</v>
      </c>
      <c r="V59" t="n">
        <v>11.7</v>
      </c>
      <c r="W59" t="n">
        <v>5.9</v>
      </c>
      <c r="X59" s="8">
        <f>(IF(E59="",2,IF(E59&lt;=400000,3,IF(E59&gt;=500000,1,2))))*0.1+(IF(OR(G59="",G59=0),2,IF((E59/G59)&lt;=200000,3,IF((E59/G59)&gt;=300000,1,2))))*0.1+(IF(F59="",2,IF(F59&lt;=200,3,IF(F59&gt;=400,1,2))))*0.1+(IF(T59="",2,IF(T59&lt;=2000,3,IF(T59&gt;=3000,1,2))))*0.2+(IF(V59="",2,IF(V59&lt;=15,3,IF(V59&gt;=30,1,2))))*0.15+(IF(W59="",2,IF(W59&lt;=15,3,IF(W59&gt;=25,1,2))))*0.1+(IF(U59="",2,IF(U59&lt;=5,3,IF(U59&gt;=15,1,2))))*0.1+(IF(J59="Yes",3,IF(J59="No",1,2)))*0.05+(IF(OR(K59="",UPPER(TRIM(K59))="UNKNOWN"),2,IF(OR(UPPER(TRIM(K59))="NONE",ISNUMBER(SEARCH("no parking",K59))),1,3)))*0.05+(IF(AND(ISNUMBER(I59),I59&gt;=900),3,IF(AND(ISNUMBER(G59),G59&gt;=2),3,IF(AND(ISNUMBER(I59),I59&gt;=700),2,IF(AND(ISNUMBER(I59),I59&lt;700),1,2)))))*0.05</f>
        <v/>
      </c>
      <c r="Y59">
        <f>IF(X59&gt;=2.3,"Green",IF(X59&gt;=1.7,"Yellow","Red"))</f>
        <v/>
      </c>
    </row>
    <row r="60">
      <c r="A60" s="9" t="inlineStr">
        <is>
          <t>18 Glenville Ave Unit 3A, Allston, MA 02134</t>
        </is>
      </c>
      <c r="B60" t="inlineStr">
        <is>
          <t>Allston</t>
        </is>
      </c>
      <c r="C60" s="6" t="inlineStr">
        <is>
          <t>https://www.redfin.com/MA/Allston/18-Glenville-Ave-02134/unit-3A/home/8995847</t>
        </is>
      </c>
      <c r="D60" s="7" t="n"/>
      <c r="E60" s="3" t="n">
        <v>399900</v>
      </c>
      <c r="F60" s="3" t="n">
        <v>427</v>
      </c>
      <c r="G60" t="n">
        <v>1</v>
      </c>
      <c r="H60" t="n">
        <v>1</v>
      </c>
      <c r="I60" s="4" t="n">
        <v>495</v>
      </c>
      <c r="J60" t="inlineStr">
        <is>
          <t>No</t>
        </is>
      </c>
      <c r="K60" t="inlineStr">
        <is>
          <t>0 spaces</t>
        </is>
      </c>
      <c r="L60" s="3">
        <f>Assumptions!B3</f>
        <v/>
      </c>
      <c r="M60" s="3">
        <f>E60-L60</f>
        <v/>
      </c>
      <c r="N60" s="3">
        <f>-PMT(Assumptions!B2/12,Assumptions!B4*12,M60)</f>
        <v/>
      </c>
      <c r="O60" s="3">
        <f>E60*Assumptions!B5/12</f>
        <v/>
      </c>
      <c r="P60" s="3">
        <f>Assumptions!B6</f>
        <v/>
      </c>
      <c r="Q60" s="3">
        <f>Assumptions!B7+Assumptions!B8</f>
        <v/>
      </c>
      <c r="R60" s="3">
        <f>N60+F60+O60+P60+Q60</f>
        <v/>
      </c>
      <c r="S60" s="3" t="n">
        <v>0</v>
      </c>
      <c r="T60" s="3">
        <f>R60-S60*MAX(IFERROR(G60-1,0),0)</f>
        <v/>
      </c>
      <c r="U60" t="n">
        <v>0.6</v>
      </c>
      <c r="V60" t="n">
        <v>11.1</v>
      </c>
      <c r="W60" t="n">
        <v>10.7</v>
      </c>
      <c r="X60" s="8">
        <f>(IF(E60="",2,IF(E60&lt;=400000,3,IF(E60&gt;=500000,1,2))))*0.1+(IF(OR(G60="",G60=0),2,IF((E60/G60)&lt;=200000,3,IF((E60/G60)&gt;=300000,1,2))))*0.1+(IF(F60="",2,IF(F60&lt;=200,3,IF(F60&gt;=400,1,2))))*0.1+(IF(T60="",2,IF(T60&lt;=2000,3,IF(T60&gt;=3000,1,2))))*0.2+(IF(V60="",2,IF(V60&lt;=15,3,IF(V60&gt;=30,1,2))))*0.15+(IF(W60="",2,IF(W60&lt;=15,3,IF(W60&gt;=25,1,2))))*0.1+(IF(U60="",2,IF(U60&lt;=5,3,IF(U60&gt;=15,1,2))))*0.1+(IF(J60="Yes",3,IF(J60="No",1,2)))*0.05+(IF(OR(K60="",UPPER(TRIM(K60))="UNKNOWN"),2,IF(OR(UPPER(TRIM(K60))="NONE",ISNUMBER(SEARCH("no parking",K60))),1,3)))*0.05+(IF(AND(ISNUMBER(I60),I60&gt;=900),3,IF(AND(ISNUMBER(G60),G60&gt;=2),3,IF(AND(ISNUMBER(I60),I60&gt;=700),2,IF(AND(ISNUMBER(I60),I60&lt;700),1,2)))))*0.05</f>
        <v/>
      </c>
      <c r="Y60">
        <f>IF(X60&gt;=2.3,"Green",IF(X60&gt;=1.7,"Yellow","Red"))</f>
        <v/>
      </c>
    </row>
    <row r="61">
      <c r="A61" s="9" t="inlineStr">
        <is>
          <t>1496 Commonwealth Ave Unit 9E, Brighton, MA 02135</t>
        </is>
      </c>
      <c r="B61" t="inlineStr">
        <is>
          <t>Brighton</t>
        </is>
      </c>
      <c r="C61" s="6" t="inlineStr">
        <is>
          <t>https://www.redfin.com/MA/Brighton/1496-Commonwealth-Ave-02135/unit-9E/home/201193887</t>
        </is>
      </c>
      <c r="D61" s="7" t="n"/>
      <c r="E61" s="3" t="n">
        <v>425000</v>
      </c>
      <c r="F61" s="3" t="n">
        <v>297</v>
      </c>
      <c r="G61" t="n">
        <v>1</v>
      </c>
      <c r="H61" t="n">
        <v>1</v>
      </c>
      <c r="I61" s="4" t="n">
        <v>525</v>
      </c>
      <c r="J61" t="inlineStr">
        <is>
          <t>No</t>
        </is>
      </c>
      <c r="K61" t="inlineStr">
        <is>
          <t>0 spaces</t>
        </is>
      </c>
      <c r="L61" s="3">
        <f>Assumptions!B3</f>
        <v/>
      </c>
      <c r="M61" s="3">
        <f>E61-L61</f>
        <v/>
      </c>
      <c r="N61" s="3">
        <f>-PMT(Assumptions!B2/12,Assumptions!B4*12,M61)</f>
        <v/>
      </c>
      <c r="O61" s="3">
        <f>E61*Assumptions!B5/12</f>
        <v/>
      </c>
      <c r="P61" s="3">
        <f>Assumptions!B6</f>
        <v/>
      </c>
      <c r="Q61" s="3">
        <f>Assumptions!B7+Assumptions!B8</f>
        <v/>
      </c>
      <c r="R61" s="3">
        <f>N61+F61+O61+P61+Q61</f>
        <v/>
      </c>
      <c r="S61" s="3" t="n">
        <v>0</v>
      </c>
      <c r="T61" s="3">
        <f>R61-S61*MAX(IFERROR(G61-1,0),0)</f>
        <v/>
      </c>
      <c r="U61" t="n">
        <v>0.8</v>
      </c>
      <c r="V61" t="n">
        <v>12.9</v>
      </c>
      <c r="W61" t="n">
        <v>12.5</v>
      </c>
      <c r="X61" s="8">
        <f>(IF(E61="",2,IF(E61&lt;=400000,3,IF(E61&gt;=500000,1,2))))*0.1+(IF(OR(G61="",G61=0),2,IF((E61/G61)&lt;=200000,3,IF((E61/G61)&gt;=300000,1,2))))*0.1+(IF(F61="",2,IF(F61&lt;=200,3,IF(F61&gt;=400,1,2))))*0.1+(IF(T61="",2,IF(T61&lt;=2000,3,IF(T61&gt;=3000,1,2))))*0.2+(IF(V61="",2,IF(V61&lt;=15,3,IF(V61&gt;=30,1,2))))*0.15+(IF(W61="",2,IF(W61&lt;=15,3,IF(W61&gt;=25,1,2))))*0.1+(IF(U61="",2,IF(U61&lt;=5,3,IF(U61&gt;=15,1,2))))*0.1+(IF(J61="Yes",3,IF(J61="No",1,2)))*0.05+(IF(OR(K61="",UPPER(TRIM(K61))="UNKNOWN"),2,IF(OR(UPPER(TRIM(K61))="NONE",ISNUMBER(SEARCH("no parking",K61))),1,3)))*0.05+(IF(AND(ISNUMBER(I61),I61&gt;=900),3,IF(AND(ISNUMBER(G61),G61&gt;=2),3,IF(AND(ISNUMBER(I61),I61&gt;=700),2,IF(AND(ISNUMBER(I61),I61&lt;700),1,2)))))*0.05</f>
        <v/>
      </c>
      <c r="Y61">
        <f>IF(X61&gt;=2.3,"Green",IF(X61&gt;=1.7,"Yellow","Red"))</f>
        <v/>
      </c>
    </row>
    <row r="62">
      <c r="A62" s="9" t="inlineStr">
        <is>
          <t>533 Cambridge St #308, Allston, MA 02134</t>
        </is>
      </c>
      <c r="B62" t="inlineStr">
        <is>
          <t>Allston</t>
        </is>
      </c>
      <c r="C62" s="6" t="inlineStr">
        <is>
          <t>https://www.redfin.com/MA/Allston/533-Cambridge-St-02134/unit-308/home/12469714</t>
        </is>
      </c>
      <c r="D62" s="7" t="inlineStr">
        <is>
          <t>2026-04-09</t>
        </is>
      </c>
      <c r="E62" s="3" t="n">
        <v>545911</v>
      </c>
      <c r="F62" s="3" t="n">
        <v>270</v>
      </c>
      <c r="G62" t="n">
        <v>1</v>
      </c>
      <c r="H62" t="n">
        <v>1</v>
      </c>
      <c r="I62" s="4" t="n">
        <v>885</v>
      </c>
      <c r="J62" t="inlineStr">
        <is>
          <t>No</t>
        </is>
      </c>
      <c r="K62" t="inlineStr">
        <is>
          <t>1 space</t>
        </is>
      </c>
      <c r="L62" s="3">
        <f>Assumptions!B3</f>
        <v/>
      </c>
      <c r="M62" s="3">
        <f>E62-L62</f>
        <v/>
      </c>
      <c r="N62" s="3">
        <f>-PMT(Assumptions!B2/12,Assumptions!B4*12,M62)</f>
        <v/>
      </c>
      <c r="O62" s="3">
        <f>E62*Assumptions!B5/12</f>
        <v/>
      </c>
      <c r="P62" s="3">
        <f>Assumptions!B6</f>
        <v/>
      </c>
      <c r="Q62" s="3">
        <f>Assumptions!B7+Assumptions!B8</f>
        <v/>
      </c>
      <c r="R62" s="3">
        <f>N62+F62+O62+P62+Q62</f>
        <v/>
      </c>
      <c r="S62" s="3" t="n">
        <v>0</v>
      </c>
      <c r="T62" s="3">
        <f>R62-S62*MAX(IFERROR(G62-1,0),0)</f>
        <v/>
      </c>
      <c r="U62" t="n">
        <v>2.8</v>
      </c>
      <c r="V62" t="n">
        <v>11.1</v>
      </c>
      <c r="W62" t="n">
        <v>10.8</v>
      </c>
      <c r="X62" s="8">
        <f>(IF(E62="",2,IF(E62&lt;=400000,3,IF(E62&gt;=500000,1,2))))*0.1+(IF(OR(G62="",G62=0),2,IF((E62/G62)&lt;=200000,3,IF((E62/G62)&gt;=300000,1,2))))*0.1+(IF(F62="",2,IF(F62&lt;=200,3,IF(F62&gt;=400,1,2))))*0.1+(IF(T62="",2,IF(T62&lt;=2000,3,IF(T62&gt;=3000,1,2))))*0.2+(IF(V62="",2,IF(V62&lt;=15,3,IF(V62&gt;=30,1,2))))*0.15+(IF(W62="",2,IF(W62&lt;=15,3,IF(W62&gt;=25,1,2))))*0.1+(IF(U62="",2,IF(U62&lt;=5,3,IF(U62&gt;=15,1,2))))*0.1+(IF(J62="Yes",3,IF(J62="No",1,2)))*0.05+(IF(OR(K62="",UPPER(TRIM(K62))="UNKNOWN"),2,IF(OR(UPPER(TRIM(K62))="NONE",ISNUMBER(SEARCH("no parking",K62))),1,3)))*0.05+(IF(AND(ISNUMBER(I62),I62&gt;=900),3,IF(AND(ISNUMBER(G62),G62&gt;=2),3,IF(AND(ISNUMBER(I62),I62&gt;=700),2,IF(AND(ISNUMBER(I62),I62&lt;700),1,2)))))*0.05</f>
        <v/>
      </c>
      <c r="Y62">
        <f>IF(X62&gt;=2.3,"Green",IF(X62&gt;=1.7,"Yellow","Red"))</f>
        <v/>
      </c>
    </row>
    <row r="63">
      <c r="A63" s="9" t="inlineStr">
        <is>
          <t>9 Clyde #9, Somerville, MA 02145</t>
        </is>
      </c>
      <c r="B63" t="inlineStr">
        <is>
          <t>Somerville</t>
        </is>
      </c>
      <c r="C63" s="6" t="inlineStr">
        <is>
          <t>https://www.redfin.com/MA/Somerville/9-Clyde-St-02145/unit-9/home/187141476</t>
        </is>
      </c>
      <c r="D63" s="7" t="inlineStr">
        <is>
          <t>2026-04-09</t>
        </is>
      </c>
      <c r="E63" s="3" t="n">
        <v>569000</v>
      </c>
      <c r="F63" s="3" t="n">
        <v>220</v>
      </c>
      <c r="G63" t="n">
        <v>1</v>
      </c>
      <c r="H63" t="n">
        <v>1</v>
      </c>
      <c r="I63" s="4" t="n">
        <v>712</v>
      </c>
      <c r="J63" t="inlineStr">
        <is>
          <t>No</t>
        </is>
      </c>
      <c r="K63" t="inlineStr">
        <is>
          <t>1 space</t>
        </is>
      </c>
      <c r="L63" s="3">
        <f>Assumptions!B3</f>
        <v/>
      </c>
      <c r="M63" s="3">
        <f>E63-L63</f>
        <v/>
      </c>
      <c r="N63" s="3">
        <f>-PMT(Assumptions!B2/12,Assumptions!B4*12,M63)</f>
        <v/>
      </c>
      <c r="O63" s="3">
        <f>E63*Assumptions!B5/12</f>
        <v/>
      </c>
      <c r="P63" s="3">
        <f>Assumptions!B6</f>
        <v/>
      </c>
      <c r="Q63" s="3">
        <f>Assumptions!B7+Assumptions!B8</f>
        <v/>
      </c>
      <c r="R63" s="3">
        <f>N63+F63+O63+P63+Q63</f>
        <v/>
      </c>
      <c r="S63" s="3" t="n">
        <v>0</v>
      </c>
      <c r="T63" s="3">
        <f>R63-S63*MAX(IFERROR(G63-1,0),0)</f>
        <v/>
      </c>
      <c r="U63" t="n">
        <v>2.4</v>
      </c>
      <c r="V63" t="n">
        <v>13</v>
      </c>
      <c r="W63" t="n">
        <v>10.1</v>
      </c>
      <c r="X63" s="8">
        <f>(IF(E63="",2,IF(E63&lt;=400000,3,IF(E63&gt;=500000,1,2))))*0.1+(IF(OR(G63="",G63=0),2,IF((E63/G63)&lt;=200000,3,IF((E63/G63)&gt;=300000,1,2))))*0.1+(IF(F63="",2,IF(F63&lt;=200,3,IF(F63&gt;=400,1,2))))*0.1+(IF(T63="",2,IF(T63&lt;=2000,3,IF(T63&gt;=3000,1,2))))*0.2+(IF(V63="",2,IF(V63&lt;=15,3,IF(V63&gt;=30,1,2))))*0.15+(IF(W63="",2,IF(W63&lt;=15,3,IF(W63&gt;=25,1,2))))*0.1+(IF(U63="",2,IF(U63&lt;=5,3,IF(U63&gt;=15,1,2))))*0.1+(IF(J63="Yes",3,IF(J63="No",1,2)))*0.05+(IF(OR(K63="",UPPER(TRIM(K63))="UNKNOWN"),2,IF(OR(UPPER(TRIM(K63))="NONE",ISNUMBER(SEARCH("no parking",K63))),1,3)))*0.05+(IF(AND(ISNUMBER(I63),I63&gt;=900),3,IF(AND(ISNUMBER(G63),G63&gt;=2),3,IF(AND(ISNUMBER(I63),I63&gt;=700),2,IF(AND(ISNUMBER(I63),I63&lt;700),1,2)))))*0.05</f>
        <v/>
      </c>
      <c r="Y63">
        <f>IF(X63&gt;=2.3,"Green",IF(X63&gt;=1.7,"Yellow","Red"))</f>
        <v/>
      </c>
    </row>
    <row r="64">
      <c r="A64" s="9" t="inlineStr">
        <is>
          <t>140 Kenrick #8, Brighton, MA 02135</t>
        </is>
      </c>
      <c r="B64" t="inlineStr">
        <is>
          <t>Brighton</t>
        </is>
      </c>
      <c r="C64" s="6" t="inlineStr">
        <is>
          <t>https://www.redfin.com/MA/Brighton/140-Kenrick-St-02135/unit-8/home/9043024</t>
        </is>
      </c>
      <c r="D64" s="7" t="inlineStr">
        <is>
          <t>2026-04-14</t>
        </is>
      </c>
      <c r="E64" s="3" t="n">
        <v>460000</v>
      </c>
      <c r="F64" s="3" t="n">
        <v>434</v>
      </c>
      <c r="G64" t="n">
        <v>2</v>
      </c>
      <c r="H64" t="n">
        <v>1</v>
      </c>
      <c r="I64" s="4" t="n">
        <v>646</v>
      </c>
      <c r="J64" t="inlineStr">
        <is>
          <t>No</t>
        </is>
      </c>
      <c r="K64" t="inlineStr">
        <is>
          <t>2 spaces</t>
        </is>
      </c>
      <c r="L64" s="3">
        <f>Assumptions!B3</f>
        <v/>
      </c>
      <c r="M64" s="3">
        <f>E64-L64</f>
        <v/>
      </c>
      <c r="N64" s="3">
        <f>-PMT(Assumptions!B2/12,Assumptions!B4*12,M64)</f>
        <v/>
      </c>
      <c r="O64" s="3">
        <f>E64*Assumptions!B5/12</f>
        <v/>
      </c>
      <c r="P64" s="3">
        <f>Assumptions!B6</f>
        <v/>
      </c>
      <c r="Q64" s="3">
        <f>Assumptions!B7+Assumptions!B8</f>
        <v/>
      </c>
      <c r="R64" s="3">
        <f>N64+F64+O64+P64+Q64</f>
        <v/>
      </c>
      <c r="S64" s="3" t="n">
        <v>1300</v>
      </c>
      <c r="T64" s="3">
        <f>R64-S64*MAX(IFERROR(G64-1,0),0)</f>
        <v/>
      </c>
      <c r="U64" t="n">
        <v>5.2</v>
      </c>
      <c r="V64" t="n">
        <v>16.5</v>
      </c>
      <c r="W64" t="n">
        <v>16.6</v>
      </c>
      <c r="X64" s="8">
        <f>(IF(E64="",2,IF(E64&lt;=400000,3,IF(E64&gt;=500000,1,2))))*0.1+(IF(OR(G64="",G64=0),2,IF((E64/G64)&lt;=200000,3,IF((E64/G64)&gt;=300000,1,2))))*0.1+(IF(F64="",2,IF(F64&lt;=200,3,IF(F64&gt;=400,1,2))))*0.1+(IF(T64="",2,IF(T64&lt;=2000,3,IF(T64&gt;=3000,1,2))))*0.2+(IF(V64="",2,IF(V64&lt;=15,3,IF(V64&gt;=30,1,2))))*0.15+(IF(W64="",2,IF(W64&lt;=15,3,IF(W64&gt;=25,1,2))))*0.1+(IF(U64="",2,IF(U64&lt;=5,3,IF(U64&gt;=15,1,2))))*0.1+(IF(J64="Yes",3,IF(J64="No",1,2)))*0.05+(IF(OR(K64="",UPPER(TRIM(K64))="UNKNOWN"),2,IF(OR(UPPER(TRIM(K64))="NONE",ISNUMBER(SEARCH("no parking",K64))),1,3)))*0.05+(IF(AND(ISNUMBER(I64),I64&gt;=900),3,IF(AND(ISNUMBER(G64),G64&gt;=2),3,IF(AND(ISNUMBER(I64),I64&gt;=700),2,IF(AND(ISNUMBER(I64),I64&lt;700),1,2)))))*0.05</f>
        <v/>
      </c>
      <c r="Y64">
        <f>IF(X64&gt;=2.3,"Green",IF(X64&gt;=1.7,"Yellow","Red"))</f>
        <v/>
      </c>
    </row>
    <row r="65">
      <c r="A65" s="9" t="inlineStr">
        <is>
          <t>25 West Howard St Unit G3, Quincy, MA 02169</t>
        </is>
      </c>
      <c r="B65" t="inlineStr">
        <is>
          <t>Quincy</t>
        </is>
      </c>
      <c r="C65" s="6" t="inlineStr">
        <is>
          <t>https://www.redfin.com/MA/Quincy/25-W-Howard-St-02169/unit-G3/home/9031079</t>
        </is>
      </c>
      <c r="D65" s="7" t="inlineStr">
        <is>
          <t>2026-04-15</t>
        </is>
      </c>
      <c r="E65" s="3" t="n">
        <v>597500</v>
      </c>
      <c r="F65" s="3" t="n">
        <v>300</v>
      </c>
      <c r="G65" t="n">
        <v>3</v>
      </c>
      <c r="H65" t="n">
        <v>2</v>
      </c>
      <c r="I65" s="4" t="n">
        <v>1394</v>
      </c>
      <c r="J65" t="inlineStr">
        <is>
          <t>No</t>
        </is>
      </c>
      <c r="K65" t="inlineStr">
        <is>
          <t>2 spaces</t>
        </is>
      </c>
      <c r="L65" s="3">
        <f>Assumptions!B3</f>
        <v/>
      </c>
      <c r="M65" s="3">
        <f>E65-L65</f>
        <v/>
      </c>
      <c r="N65" s="3">
        <f>-PMT(Assumptions!B2/12,Assumptions!B4*12,M65)</f>
        <v/>
      </c>
      <c r="O65" s="3">
        <f>E65*Assumptions!B5/12</f>
        <v/>
      </c>
      <c r="P65" s="3">
        <f>Assumptions!B6</f>
        <v/>
      </c>
      <c r="Q65" s="3">
        <f>Assumptions!B7+Assumptions!B8</f>
        <v/>
      </c>
      <c r="R65" s="3">
        <f>N65+F65+O65+P65+Q65</f>
        <v/>
      </c>
      <c r="S65" s="3" t="n">
        <v>1170</v>
      </c>
      <c r="T65" s="3">
        <f>R65-S65*MAX(IFERROR(G65-1,0),0)</f>
        <v/>
      </c>
      <c r="U65" t="n">
        <v>6.6</v>
      </c>
      <c r="V65" t="n">
        <v>21.3</v>
      </c>
      <c r="W65" t="n">
        <v>25.4</v>
      </c>
      <c r="X65" s="8">
        <f>(IF(E65="",2,IF(E65&lt;=400000,3,IF(E65&gt;=500000,1,2))))*0.1+(IF(OR(G65="",G65=0),2,IF((E65/G65)&lt;=200000,3,IF((E65/G65)&gt;=300000,1,2))))*0.1+(IF(F65="",2,IF(F65&lt;=200,3,IF(F65&gt;=400,1,2))))*0.1+(IF(T65="",2,IF(T65&lt;=2000,3,IF(T65&gt;=3000,1,2))))*0.2+(IF(V65="",2,IF(V65&lt;=15,3,IF(V65&gt;=30,1,2))))*0.15+(IF(W65="",2,IF(W65&lt;=15,3,IF(W65&gt;=25,1,2))))*0.1+(IF(U65="",2,IF(U65&lt;=5,3,IF(U65&gt;=15,1,2))))*0.1+(IF(J65="Yes",3,IF(J65="No",1,2)))*0.05+(IF(OR(K65="",UPPER(TRIM(K65))="UNKNOWN"),2,IF(OR(UPPER(TRIM(K65))="NONE",ISNUMBER(SEARCH("no parking",K65))),1,3)))*0.05+(IF(AND(ISNUMBER(I65),I65&gt;=900),3,IF(AND(ISNUMBER(G65),G65&gt;=2),3,IF(AND(ISNUMBER(I65),I65&gt;=700),2,IF(AND(ISNUMBER(I65),I65&lt;700),1,2)))))*0.05</f>
        <v/>
      </c>
      <c r="Y65">
        <f>IF(X65&gt;=2.3,"Green",IF(X65&gt;=1.7,"Yellow","Red"))</f>
        <v/>
      </c>
    </row>
    <row r="66">
      <c r="A66" s="9" t="inlineStr">
        <is>
          <t>154 Glendale Rd #2, Quincy, MA 02169</t>
        </is>
      </c>
      <c r="B66" t="inlineStr">
        <is>
          <t>Quincy</t>
        </is>
      </c>
      <c r="C66" s="6" t="inlineStr">
        <is>
          <t>https://www.redfin.com/MA/Quincy/154-Glendale-Rd-02169/unit-2/home/77500153</t>
        </is>
      </c>
      <c r="D66" s="7" t="inlineStr">
        <is>
          <t>2026-04-29</t>
        </is>
      </c>
      <c r="E66" s="3" t="n">
        <v>527000</v>
      </c>
      <c r="F66" s="3" t="n">
        <v>175</v>
      </c>
      <c r="G66" t="n">
        <v>2</v>
      </c>
      <c r="H66" t="n">
        <v>1</v>
      </c>
      <c r="I66" s="4" t="n">
        <v>1055</v>
      </c>
      <c r="J66" t="inlineStr">
        <is>
          <t>No</t>
        </is>
      </c>
      <c r="K66" t="inlineStr">
        <is>
          <t>2 spaces</t>
        </is>
      </c>
      <c r="L66" s="3">
        <f>Assumptions!B3</f>
        <v/>
      </c>
      <c r="M66" s="3">
        <f>E66-L66</f>
        <v/>
      </c>
      <c r="N66" s="3">
        <f>-PMT(Assumptions!B2/12,Assumptions!B4*12,M66)</f>
        <v/>
      </c>
      <c r="O66" s="3">
        <f>E66*Assumptions!B5/12</f>
        <v/>
      </c>
      <c r="P66" s="3">
        <f>Assumptions!B6</f>
        <v/>
      </c>
      <c r="Q66" s="3">
        <f>Assumptions!B7+Assumptions!B8</f>
        <v/>
      </c>
      <c r="R66" s="3">
        <f>N66+F66+O66+P66+Q66</f>
        <v/>
      </c>
      <c r="S66" s="3" t="n">
        <v>1170</v>
      </c>
      <c r="T66" s="3">
        <f>R66-S66*MAX(IFERROR(G66-1,0),0)</f>
        <v/>
      </c>
      <c r="U66" t="n">
        <v>2.3</v>
      </c>
      <c r="V66" t="n">
        <v>17.6</v>
      </c>
      <c r="W66" t="n">
        <v>21.7</v>
      </c>
      <c r="X66" s="8">
        <f>(IF(E66="",2,IF(E66&lt;=400000,3,IF(E66&gt;=500000,1,2))))*0.1+(IF(OR(G66="",G66=0),2,IF((E66/G66)&lt;=200000,3,IF((E66/G66)&gt;=300000,1,2))))*0.1+(IF(F66="",2,IF(F66&lt;=200,3,IF(F66&gt;=400,1,2))))*0.1+(IF(T66="",2,IF(T66&lt;=2000,3,IF(T66&gt;=3000,1,2))))*0.2+(IF(V66="",2,IF(V66&lt;=15,3,IF(V66&gt;=30,1,2))))*0.15+(IF(W66="",2,IF(W66&lt;=15,3,IF(W66&gt;=25,1,2))))*0.1+(IF(U66="",2,IF(U66&lt;=5,3,IF(U66&gt;=15,1,2))))*0.1+(IF(J66="Yes",3,IF(J66="No",1,2)))*0.05+(IF(OR(K66="",UPPER(TRIM(K66))="UNKNOWN"),2,IF(OR(UPPER(TRIM(K66))="NONE",ISNUMBER(SEARCH("no parking",K66))),1,3)))*0.05+(IF(AND(ISNUMBER(I66),I66&gt;=900),3,IF(AND(ISNUMBER(G66),G66&gt;=2),3,IF(AND(ISNUMBER(I66),I66&gt;=700),2,IF(AND(ISNUMBER(I66),I66&lt;700),1,2)))))*0.05</f>
        <v/>
      </c>
      <c r="Y66">
        <f>IF(X66&gt;=2.3,"Green",IF(X66&gt;=1.7,"Yellow","Red"))</f>
        <v/>
      </c>
    </row>
    <row r="67">
      <c r="A67" s="9" t="inlineStr">
        <is>
          <t>851 Quincy Shore Dr, Quincy, MA 02170</t>
        </is>
      </c>
      <c r="B67" t="inlineStr">
        <is>
          <t>Quincy</t>
        </is>
      </c>
      <c r="C67" s="6" t="inlineStr">
        <is>
          <t>https://www.redfin.com/MA/Quincy/851-Quincy-Shore-Dr-02170/home/8982621</t>
        </is>
      </c>
      <c r="D67" s="7" t="inlineStr">
        <is>
          <t>2026-04-21</t>
        </is>
      </c>
      <c r="E67" s="3" t="n">
        <v>599900</v>
      </c>
      <c r="F67" s="3" t="n">
        <v>0</v>
      </c>
      <c r="G67" t="n">
        <v>2</v>
      </c>
      <c r="H67" t="n">
        <v>1</v>
      </c>
      <c r="I67" s="4" t="n">
        <v>1137</v>
      </c>
      <c r="J67" t="inlineStr">
        <is>
          <t>No</t>
        </is>
      </c>
      <c r="K67" t="inlineStr">
        <is>
          <t>2 spaces</t>
        </is>
      </c>
      <c r="L67" s="3">
        <f>Assumptions!B3</f>
        <v/>
      </c>
      <c r="M67" s="3">
        <f>E67-L67</f>
        <v/>
      </c>
      <c r="N67" s="3">
        <f>-PMT(Assumptions!B2/12,Assumptions!B4*12,M67)</f>
        <v/>
      </c>
      <c r="O67" s="3">
        <f>E67*Assumptions!B5/12</f>
        <v/>
      </c>
      <c r="P67" s="3">
        <f>Assumptions!B6</f>
        <v/>
      </c>
      <c r="Q67" s="3">
        <f>Assumptions!B7+Assumptions!B8</f>
        <v/>
      </c>
      <c r="R67" s="3">
        <f>N67+F67+O67+P67+Q67</f>
        <v/>
      </c>
      <c r="S67" s="3" t="n">
        <v>1170</v>
      </c>
      <c r="T67" s="3">
        <f>R67-S67*MAX(IFERROR(G67-1,0),0)</f>
        <v/>
      </c>
      <c r="U67" t="n">
        <v>4.2</v>
      </c>
      <c r="V67" t="n">
        <v>15.9</v>
      </c>
      <c r="W67" t="n">
        <v>20</v>
      </c>
      <c r="X67" s="8">
        <f>(IF(E67="",2,IF(E67&lt;=400000,3,IF(E67&gt;=500000,1,2))))*0.1+(IF(OR(G67="",G67=0),2,IF((E67/G67)&lt;=200000,3,IF((E67/G67)&gt;=300000,1,2))))*0.1+(IF(F67="",2,IF(F67&lt;=200,3,IF(F67&gt;=400,1,2))))*0.1+(IF(T67="",2,IF(T67&lt;=2000,3,IF(T67&gt;=3000,1,2))))*0.2+(IF(V67="",2,IF(V67&lt;=15,3,IF(V67&gt;=30,1,2))))*0.15+(IF(W67="",2,IF(W67&lt;=15,3,IF(W67&gt;=25,1,2))))*0.1+(IF(U67="",2,IF(U67&lt;=5,3,IF(U67&gt;=15,1,2))))*0.1+(IF(J67="Yes",3,IF(J67="No",1,2)))*0.05+(IF(OR(K67="",UPPER(TRIM(K67))="UNKNOWN"),2,IF(OR(UPPER(TRIM(K67))="NONE",ISNUMBER(SEARCH("no parking",K67))),1,3)))*0.05+(IF(AND(ISNUMBER(I67),I67&gt;=900),3,IF(AND(ISNUMBER(G67),G67&gt;=2),3,IF(AND(ISNUMBER(I67),I67&gt;=700),2,IF(AND(ISNUMBER(I67),I67&lt;700),1,2)))))*0.05</f>
        <v/>
      </c>
      <c r="Y67">
        <f>IF(X67&gt;=2.3,"Green",IF(X67&gt;=1.7,"Yellow","Red"))</f>
        <v/>
      </c>
    </row>
    <row r="68">
      <c r="A68" s="9" t="inlineStr">
        <is>
          <t>33 Bishop Rd #33, Quincy, MA 02170</t>
        </is>
      </c>
      <c r="B68" t="inlineStr">
        <is>
          <t>Quincy</t>
        </is>
      </c>
      <c r="C68" s="6" t="inlineStr">
        <is>
          <t>https://www.redfin.com/MA/Quincy/33-Bishop-Rd-02170/unit-33/home/201392327</t>
        </is>
      </c>
      <c r="D68" s="7" t="inlineStr">
        <is>
          <t>2026-04-15</t>
        </is>
      </c>
      <c r="E68" s="3" t="n">
        <v>539000</v>
      </c>
      <c r="F68" s="3" t="n">
        <v>0</v>
      </c>
      <c r="G68" t="n">
        <v>2</v>
      </c>
      <c r="H68" t="n">
        <v>1</v>
      </c>
      <c r="I68" s="4" t="n">
        <v>828</v>
      </c>
      <c r="J68" t="inlineStr">
        <is>
          <t>No</t>
        </is>
      </c>
      <c r="K68" t="inlineStr">
        <is>
          <t>2 spaces</t>
        </is>
      </c>
      <c r="L68" s="3">
        <f>Assumptions!B3</f>
        <v/>
      </c>
      <c r="M68" s="3">
        <f>E68-L68</f>
        <v/>
      </c>
      <c r="N68" s="3">
        <f>-PMT(Assumptions!B2/12,Assumptions!B4*12,M68)</f>
        <v/>
      </c>
      <c r="O68" s="3">
        <f>E68*Assumptions!B5/12</f>
        <v/>
      </c>
      <c r="P68" s="3">
        <f>Assumptions!B6</f>
        <v/>
      </c>
      <c r="Q68" s="3">
        <f>Assumptions!B7+Assumptions!B8</f>
        <v/>
      </c>
      <c r="R68" s="3">
        <f>N68+F68+O68+P68+Q68</f>
        <v/>
      </c>
      <c r="S68" s="3" t="n">
        <v>1170</v>
      </c>
      <c r="T68" s="3">
        <f>R68-S68*MAX(IFERROR(G68-1,0),0)</f>
        <v/>
      </c>
      <c r="U68" t="n">
        <v>3.7</v>
      </c>
      <c r="V68" t="n">
        <v>15.2</v>
      </c>
      <c r="W68" t="n">
        <v>19.3</v>
      </c>
      <c r="X68" s="8">
        <f>(IF(E68="",2,IF(E68&lt;=400000,3,IF(E68&gt;=500000,1,2))))*0.1+(IF(OR(G68="",G68=0),2,IF((E68/G68)&lt;=200000,3,IF((E68/G68)&gt;=300000,1,2))))*0.1+(IF(F68="",2,IF(F68&lt;=200,3,IF(F68&gt;=400,1,2))))*0.1+(IF(T68="",2,IF(T68&lt;=2000,3,IF(T68&gt;=3000,1,2))))*0.2+(IF(V68="",2,IF(V68&lt;=15,3,IF(V68&gt;=30,1,2))))*0.15+(IF(W68="",2,IF(W68&lt;=15,3,IF(W68&gt;=25,1,2))))*0.1+(IF(U68="",2,IF(U68&lt;=5,3,IF(U68&gt;=15,1,2))))*0.1+(IF(J68="Yes",3,IF(J68="No",1,2)))*0.05+(IF(OR(K68="",UPPER(TRIM(K68))="UNKNOWN"),2,IF(OR(UPPER(TRIM(K68))="NONE",ISNUMBER(SEARCH("no parking",K68))),1,3)))*0.05+(IF(AND(ISNUMBER(I68),I68&gt;=900),3,IF(AND(ISNUMBER(G68),G68&gt;=2),3,IF(AND(ISNUMBER(I68),I68&gt;=700),2,IF(AND(ISNUMBER(I68),I68&lt;700),1,2)))))*0.05</f>
        <v/>
      </c>
      <c r="Y68">
        <f>IF(X68&gt;=2.3,"Green",IF(X68&gt;=1.7,"Yellow","Red"))</f>
        <v/>
      </c>
    </row>
    <row r="69">
      <c r="A69" s="9" t="inlineStr">
        <is>
          <t>16 Winter St Unit 23C, Waltham, MA 02451</t>
        </is>
      </c>
      <c r="B69" t="inlineStr">
        <is>
          <t>Waltham</t>
        </is>
      </c>
      <c r="C69" s="6" t="inlineStr">
        <is>
          <t>https://www.redfin.com/MA/Waltham/16-Winter-St-02451/unit-23C/home/11804460</t>
        </is>
      </c>
      <c r="D69" s="7" t="inlineStr">
        <is>
          <t>2026-05-12</t>
        </is>
      </c>
      <c r="E69" s="3" t="n">
        <v>424900</v>
      </c>
      <c r="F69" s="3" t="n">
        <v>422</v>
      </c>
      <c r="G69" t="n">
        <v>2</v>
      </c>
      <c r="H69" t="n">
        <v>2</v>
      </c>
      <c r="I69" s="4" t="n">
        <v>1012</v>
      </c>
      <c r="J69" t="inlineStr">
        <is>
          <t>No</t>
        </is>
      </c>
      <c r="K69" t="inlineStr">
        <is>
          <t>1 space</t>
        </is>
      </c>
      <c r="L69" s="3">
        <f>Assumptions!B3</f>
        <v/>
      </c>
      <c r="M69" s="3">
        <f>E69-L69</f>
        <v/>
      </c>
      <c r="N69" s="3">
        <f>-PMT(Assumptions!B2/12,Assumptions!B4*12,M69)</f>
        <v/>
      </c>
      <c r="O69" s="3">
        <f>E69*Assumptions!B5/12</f>
        <v/>
      </c>
      <c r="P69" s="3">
        <f>Assumptions!B6</f>
        <v/>
      </c>
      <c r="Q69" s="3">
        <f>Assumptions!B7+Assumptions!B8</f>
        <v/>
      </c>
      <c r="R69" s="3">
        <f>N69+F69+O69+P69+Q69</f>
        <v/>
      </c>
      <c r="S69" s="3" t="n">
        <v>1235</v>
      </c>
      <c r="T69" s="3">
        <f>R69-S69*MAX(IFERROR(G69-1,0),0)</f>
        <v/>
      </c>
      <c r="U69" t="n">
        <v>13.2</v>
      </c>
      <c r="V69" t="n">
        <v>25.7</v>
      </c>
      <c r="W69" t="n">
        <v>23.7</v>
      </c>
      <c r="X69" s="8">
        <f>(IF(E69="",2,IF(E69&lt;=400000,3,IF(E69&gt;=500000,1,2))))*0.1+(IF(OR(G69="",G69=0),2,IF((E69/G69)&lt;=200000,3,IF((E69/G69)&gt;=300000,1,2))))*0.1+(IF(F69="",2,IF(F69&lt;=200,3,IF(F69&gt;=400,1,2))))*0.1+(IF(T69="",2,IF(T69&lt;=2000,3,IF(T69&gt;=3000,1,2))))*0.2+(IF(V69="",2,IF(V69&lt;=15,3,IF(V69&gt;=30,1,2))))*0.15+(IF(W69="",2,IF(W69&lt;=15,3,IF(W69&gt;=25,1,2))))*0.1+(IF(U69="",2,IF(U69&lt;=5,3,IF(U69&gt;=15,1,2))))*0.1+(IF(J69="Yes",3,IF(J69="No",1,2)))*0.05+(IF(OR(K69="",UPPER(TRIM(K69))="UNKNOWN"),2,IF(OR(UPPER(TRIM(K69))="NONE",ISNUMBER(SEARCH("no parking",K69))),1,3)))*0.05+(IF(AND(ISNUMBER(I69),I69&gt;=900),3,IF(AND(ISNUMBER(G69),G69&gt;=2),3,IF(AND(ISNUMBER(I69),I69&gt;=700),2,IF(AND(ISNUMBER(I69),I69&lt;700),1,2)))))*0.05</f>
        <v/>
      </c>
      <c r="Y69">
        <f>IF(X69&gt;=2.3,"Green",IF(X69&gt;=1.7,"Yellow","Red"))</f>
        <v/>
      </c>
    </row>
    <row r="70">
      <c r="A70" s="9" t="inlineStr">
        <is>
          <t>66 Bryon Rd #5, Chestnut Hill, MA 02467</t>
        </is>
      </c>
      <c r="B70" t="inlineStr">
        <is>
          <t>Newton</t>
        </is>
      </c>
      <c r="C70" s="6" t="inlineStr">
        <is>
          <t>https://www.redfin.com/MA/Chestnut-Hill/66-Bryon-Rd-02467/unit-5/home/9204212</t>
        </is>
      </c>
      <c r="D70" s="7" t="inlineStr">
        <is>
          <t>2026-04-27</t>
        </is>
      </c>
      <c r="E70" s="3" t="n">
        <v>403999</v>
      </c>
      <c r="F70" s="3" t="n">
        <v>478</v>
      </c>
      <c r="G70" t="n">
        <v>2</v>
      </c>
      <c r="H70" t="n">
        <v>1</v>
      </c>
      <c r="I70" s="4" t="n">
        <v>780</v>
      </c>
      <c r="J70" t="inlineStr">
        <is>
          <t>No</t>
        </is>
      </c>
      <c r="K70" t="inlineStr">
        <is>
          <t>2 spaces</t>
        </is>
      </c>
      <c r="L70" s="3">
        <f>Assumptions!B3</f>
        <v/>
      </c>
      <c r="M70" s="3">
        <f>E70-L70</f>
        <v/>
      </c>
      <c r="N70" s="3">
        <f>-PMT(Assumptions!B2/12,Assumptions!B4*12,M70)</f>
        <v/>
      </c>
      <c r="O70" s="3">
        <f>E70*Assumptions!B5/12</f>
        <v/>
      </c>
      <c r="P70" s="3">
        <f>Assumptions!B6</f>
        <v/>
      </c>
      <c r="Q70" s="3">
        <f>Assumptions!B7+Assumptions!B8</f>
        <v/>
      </c>
      <c r="R70" s="3">
        <f>N70+F70+O70+P70+Q70</f>
        <v/>
      </c>
      <c r="S70" s="3" t="n">
        <v>1430</v>
      </c>
      <c r="T70" s="3">
        <f>R70-S70*MAX(IFERROR(G70-1,0),0)</f>
        <v/>
      </c>
      <c r="U70" t="n">
        <v>5.9</v>
      </c>
      <c r="V70" t="n">
        <v>22.9</v>
      </c>
      <c r="W70" t="n">
        <v>21.4</v>
      </c>
      <c r="X70" s="8">
        <f>(IF(E70="",2,IF(E70&lt;=400000,3,IF(E70&gt;=500000,1,2))))*0.1+(IF(OR(G70="",G70=0),2,IF((E70/G70)&lt;=200000,3,IF((E70/G70)&gt;=300000,1,2))))*0.1+(IF(F70="",2,IF(F70&lt;=200,3,IF(F70&gt;=400,1,2))))*0.1+(IF(T70="",2,IF(T70&lt;=2000,3,IF(T70&gt;=3000,1,2))))*0.2+(IF(V70="",2,IF(V70&lt;=15,3,IF(V70&gt;=30,1,2))))*0.15+(IF(W70="",2,IF(W70&lt;=15,3,IF(W70&gt;=25,1,2))))*0.1+(IF(U70="",2,IF(U70&lt;=5,3,IF(U70&gt;=15,1,2))))*0.1+(IF(J70="Yes",3,IF(J70="No",1,2)))*0.05+(IF(OR(K70="",UPPER(TRIM(K70))="UNKNOWN"),2,IF(OR(UPPER(TRIM(K70))="NONE",ISNUMBER(SEARCH("no parking",K70))),1,3)))*0.05+(IF(AND(ISNUMBER(I70),I70&gt;=900),3,IF(AND(ISNUMBER(G70),G70&gt;=2),3,IF(AND(ISNUMBER(I70),I70&gt;=700),2,IF(AND(ISNUMBER(I70),I70&lt;700),1,2)))))*0.05</f>
        <v/>
      </c>
      <c r="Y70">
        <f>IF(X70&gt;=2.3,"Green",IF(X70&gt;=1.7,"Yellow","Red"))</f>
        <v/>
      </c>
    </row>
    <row r="71">
      <c r="A71" s="9" t="inlineStr">
        <is>
          <t>432 Norfolk St Unit 2F, Somerville, MA 02143</t>
        </is>
      </c>
      <c r="B71" t="inlineStr">
        <is>
          <t>Somerville</t>
        </is>
      </c>
      <c r="C71" s="6" t="inlineStr">
        <is>
          <t>https://www.redfin.com/MA/Somerville/432-Norfolk-St-02143/unit-2F/home/8758811</t>
        </is>
      </c>
      <c r="D71" s="7" t="inlineStr">
        <is>
          <t>2026-05-12</t>
        </is>
      </c>
      <c r="E71" s="3" t="n">
        <v>579000</v>
      </c>
      <c r="F71" s="3" t="n">
        <v>0</v>
      </c>
      <c r="G71" t="n">
        <v>1</v>
      </c>
      <c r="H71" t="n">
        <v>1</v>
      </c>
      <c r="I71" s="4" t="n">
        <v>624</v>
      </c>
      <c r="J71" t="inlineStr">
        <is>
          <t>No</t>
        </is>
      </c>
      <c r="K71" t="inlineStr">
        <is>
          <t>Unknown</t>
        </is>
      </c>
      <c r="L71" s="3">
        <f>Assumptions!B3</f>
        <v/>
      </c>
      <c r="M71" s="3">
        <f>E71-L71</f>
        <v/>
      </c>
      <c r="N71" s="3">
        <f>-PMT(Assumptions!B2/12,Assumptions!B4*12,M71)</f>
        <v/>
      </c>
      <c r="O71" s="3">
        <f>E71*Assumptions!B5/12</f>
        <v/>
      </c>
      <c r="P71" s="3">
        <f>Assumptions!B6</f>
        <v/>
      </c>
      <c r="Q71" s="3">
        <f>Assumptions!B7+Assumptions!B8</f>
        <v/>
      </c>
      <c r="R71" s="3">
        <f>N71+F71+O71+P71+Q71</f>
        <v/>
      </c>
      <c r="S71" s="3" t="n">
        <v>0</v>
      </c>
      <c r="T71" s="3">
        <f>R71-S71*MAX(IFERROR(G71-1,0),0)</f>
        <v/>
      </c>
      <c r="U71" t="n">
        <v>1.5</v>
      </c>
      <c r="V71" t="n">
        <v>10</v>
      </c>
      <c r="W71" t="n">
        <v>4.9</v>
      </c>
      <c r="X71" s="8">
        <f>(IF(E71="",2,IF(E71&lt;=400000,3,IF(E71&gt;=500000,1,2))))*0.1+(IF(OR(G71="",G71=0),2,IF((E71/G71)&lt;=200000,3,IF((E71/G71)&gt;=300000,1,2))))*0.1+(IF(F71="",2,IF(F71&lt;=200,3,IF(F71&gt;=400,1,2))))*0.1+(IF(T71="",2,IF(T71&lt;=2000,3,IF(T71&gt;=3000,1,2))))*0.2+(IF(V71="",2,IF(V71&lt;=15,3,IF(V71&gt;=30,1,2))))*0.15+(IF(W71="",2,IF(W71&lt;=15,3,IF(W71&gt;=25,1,2))))*0.1+(IF(U71="",2,IF(U71&lt;=5,3,IF(U71&gt;=15,1,2))))*0.1+(IF(J71="Yes",3,IF(J71="No",1,2)))*0.05+(IF(OR(K71="",UPPER(TRIM(K71))="UNKNOWN"),2,IF(OR(UPPER(TRIM(K71))="NONE",ISNUMBER(SEARCH("no parking",K71))),1,3)))*0.05+(IF(AND(ISNUMBER(I71),I71&gt;=900),3,IF(AND(ISNUMBER(G71),G71&gt;=2),3,IF(AND(ISNUMBER(I71),I71&gt;=700),2,IF(AND(ISNUMBER(I71),I71&lt;700),1,2)))))*0.05</f>
        <v/>
      </c>
      <c r="Y71">
        <f>IF(X71&gt;=2.3,"Green",IF(X71&gt;=1.7,"Yellow","Red"))</f>
        <v/>
      </c>
    </row>
    <row r="72">
      <c r="A72" s="9" t="inlineStr">
        <is>
          <t>24 Rush St Unit C, Somerville, MA 02145</t>
        </is>
      </c>
      <c r="B72" t="inlineStr">
        <is>
          <t>Somerville</t>
        </is>
      </c>
      <c r="C72" s="6" t="inlineStr">
        <is>
          <t>https://www.redfin.com/MA/Somerville/24-Rush-St-02145/unit-C/home/174130379</t>
        </is>
      </c>
      <c r="D72" s="7" t="inlineStr">
        <is>
          <t>2026-04-22</t>
        </is>
      </c>
      <c r="E72" s="3" t="n">
        <v>589900</v>
      </c>
      <c r="F72" s="3" t="n">
        <v>340</v>
      </c>
      <c r="G72" t="n">
        <v>1</v>
      </c>
      <c r="H72" t="n">
        <v>1.5</v>
      </c>
      <c r="I72" s="4" t="n">
        <v>814</v>
      </c>
      <c r="J72" t="inlineStr">
        <is>
          <t>No</t>
        </is>
      </c>
      <c r="K72" t="inlineStr">
        <is>
          <t>0 spaces</t>
        </is>
      </c>
      <c r="L72" s="3">
        <f>Assumptions!B3</f>
        <v/>
      </c>
      <c r="M72" s="3">
        <f>E72-L72</f>
        <v/>
      </c>
      <c r="N72" s="3">
        <f>-PMT(Assumptions!B2/12,Assumptions!B4*12,M72)</f>
        <v/>
      </c>
      <c r="O72" s="3">
        <f>E72*Assumptions!B5/12</f>
        <v/>
      </c>
      <c r="P72" s="3">
        <f>Assumptions!B6</f>
        <v/>
      </c>
      <c r="Q72" s="3">
        <f>Assumptions!B7+Assumptions!B8</f>
        <v/>
      </c>
      <c r="R72" s="3">
        <f>N72+F72+O72+P72+Q72</f>
        <v/>
      </c>
      <c r="S72" s="3" t="n">
        <v>0</v>
      </c>
      <c r="T72" s="3">
        <f>R72-S72*MAX(IFERROR(G72-1,0),0)</f>
        <v/>
      </c>
      <c r="U72" t="n">
        <v>3.3</v>
      </c>
      <c r="V72" t="n">
        <v>9.199999999999999</v>
      </c>
      <c r="W72" t="n">
        <v>7</v>
      </c>
      <c r="X72" s="8">
        <f>(IF(E72="",2,IF(E72&lt;=400000,3,IF(E72&gt;=500000,1,2))))*0.1+(IF(OR(G72="",G72=0),2,IF((E72/G72)&lt;=200000,3,IF((E72/G72)&gt;=300000,1,2))))*0.1+(IF(F72="",2,IF(F72&lt;=200,3,IF(F72&gt;=400,1,2))))*0.1+(IF(T72="",2,IF(T72&lt;=2000,3,IF(T72&gt;=3000,1,2))))*0.2+(IF(V72="",2,IF(V72&lt;=15,3,IF(V72&gt;=30,1,2))))*0.15+(IF(W72="",2,IF(W72&lt;=15,3,IF(W72&gt;=25,1,2))))*0.1+(IF(U72="",2,IF(U72&lt;=5,3,IF(U72&gt;=15,1,2))))*0.1+(IF(J72="Yes",3,IF(J72="No",1,2)))*0.05+(IF(OR(K72="",UPPER(TRIM(K72))="UNKNOWN"),2,IF(OR(UPPER(TRIM(K72))="NONE",ISNUMBER(SEARCH("no parking",K72))),1,3)))*0.05+(IF(AND(ISNUMBER(I72),I72&gt;=900),3,IF(AND(ISNUMBER(G72),G72&gt;=2),3,IF(AND(ISNUMBER(I72),I72&gt;=700),2,IF(AND(ISNUMBER(I72),I72&lt;700),1,2)))))*0.05</f>
        <v/>
      </c>
      <c r="Y72">
        <f>IF(X72&gt;=2.3,"Green",IF(X72&gt;=1.7,"Yellow","Red"))</f>
        <v/>
      </c>
    </row>
    <row r="73">
      <c r="A73" s="9" t="inlineStr">
        <is>
          <t>30 Franklin St #327, Malden, MA 02148</t>
        </is>
      </c>
      <c r="B73" t="inlineStr">
        <is>
          <t>Malden</t>
        </is>
      </c>
      <c r="C73" s="6" t="inlineStr">
        <is>
          <t>https://www.redfin.com/MA/Malden/30-Franklin-St-02148/unit-327/home/11430090</t>
        </is>
      </c>
      <c r="D73" s="7" t="inlineStr">
        <is>
          <t>2026-04-28</t>
        </is>
      </c>
      <c r="E73" s="3" t="n">
        <v>430000</v>
      </c>
      <c r="F73" s="3" t="n">
        <v>435</v>
      </c>
      <c r="G73" t="n">
        <v>1</v>
      </c>
      <c r="H73" t="n">
        <v>1</v>
      </c>
      <c r="I73" s="4" t="n">
        <v>746</v>
      </c>
      <c r="J73" t="inlineStr">
        <is>
          <t>No</t>
        </is>
      </c>
      <c r="K73" t="inlineStr">
        <is>
          <t>1 space</t>
        </is>
      </c>
      <c r="L73" s="3">
        <f>Assumptions!B3</f>
        <v/>
      </c>
      <c r="M73" s="3">
        <f>E73-L73</f>
        <v/>
      </c>
      <c r="N73" s="3">
        <f>-PMT(Assumptions!B2/12,Assumptions!B4*12,M73)</f>
        <v/>
      </c>
      <c r="O73" s="3">
        <f>E73*Assumptions!B5/12</f>
        <v/>
      </c>
      <c r="P73" s="3">
        <f>Assumptions!B6</f>
        <v/>
      </c>
      <c r="Q73" s="3">
        <f>Assumptions!B7+Assumptions!B8</f>
        <v/>
      </c>
      <c r="R73" s="3">
        <f>N73+F73+O73+P73+Q73</f>
        <v/>
      </c>
      <c r="S73" s="3" t="n">
        <v>0</v>
      </c>
      <c r="T73" s="3">
        <f>R73-S73*MAX(IFERROR(G73-1,0),0)</f>
        <v/>
      </c>
      <c r="U73" t="n">
        <v>2.7</v>
      </c>
      <c r="V73" t="n">
        <v>14.8</v>
      </c>
      <c r="W73" t="n">
        <v>12.3</v>
      </c>
      <c r="X73" s="8">
        <f>(IF(E73="",2,IF(E73&lt;=400000,3,IF(E73&gt;=500000,1,2))))*0.1+(IF(OR(G73="",G73=0),2,IF((E73/G73)&lt;=200000,3,IF((E73/G73)&gt;=300000,1,2))))*0.1+(IF(F73="",2,IF(F73&lt;=200,3,IF(F73&gt;=400,1,2))))*0.1+(IF(T73="",2,IF(T73&lt;=2000,3,IF(T73&gt;=3000,1,2))))*0.2+(IF(V73="",2,IF(V73&lt;=15,3,IF(V73&gt;=30,1,2))))*0.15+(IF(W73="",2,IF(W73&lt;=15,3,IF(W73&gt;=25,1,2))))*0.1+(IF(U73="",2,IF(U73&lt;=5,3,IF(U73&gt;=15,1,2))))*0.1+(IF(J73="Yes",3,IF(J73="No",1,2)))*0.05+(IF(OR(K73="",UPPER(TRIM(K73))="UNKNOWN"),2,IF(OR(UPPER(TRIM(K73))="NONE",ISNUMBER(SEARCH("no parking",K73))),1,3)))*0.05+(IF(AND(ISNUMBER(I73),I73&gt;=900),3,IF(AND(ISNUMBER(G73),G73&gt;=2),3,IF(AND(ISNUMBER(I73),I73&gt;=700),2,IF(AND(ISNUMBER(I73),I73&lt;700),1,2)))))*0.05</f>
        <v/>
      </c>
      <c r="Y73">
        <f>IF(X73&gt;=2.3,"Green",IF(X73&gt;=1.7,"Yellow","Red"))</f>
        <v/>
      </c>
    </row>
    <row r="74">
      <c r="A74" s="9" t="inlineStr">
        <is>
          <t>1-Bedroom Plan, Quincy, MA 02169</t>
        </is>
      </c>
      <c r="B74" t="inlineStr">
        <is>
          <t>Quincy</t>
        </is>
      </c>
      <c r="C74" s="6" t="inlineStr">
        <is>
          <t>https://www.redfin.com/MA/Quincy/Quincy/1-Bedroom/home/197950895</t>
        </is>
      </c>
      <c r="D74" s="7" t="n"/>
      <c r="E74" s="3" t="n">
        <v>399000</v>
      </c>
      <c r="F74" s="3" t="n">
        <v>0</v>
      </c>
      <c r="G74" t="n">
        <v>1</v>
      </c>
      <c r="H74" t="n">
        <v>1</v>
      </c>
      <c r="I74" s="4" t="n">
        <v>500</v>
      </c>
      <c r="J74" t="inlineStr">
        <is>
          <t>No</t>
        </is>
      </c>
      <c r="K74" t="inlineStr">
        <is>
          <t>Unknown</t>
        </is>
      </c>
      <c r="L74" s="3">
        <f>Assumptions!B3</f>
        <v/>
      </c>
      <c r="M74" s="3">
        <f>E74-L74</f>
        <v/>
      </c>
      <c r="N74" s="3">
        <f>-PMT(Assumptions!B2/12,Assumptions!B4*12,M74)</f>
        <v/>
      </c>
      <c r="O74" s="3">
        <f>E74*Assumptions!B5/12</f>
        <v/>
      </c>
      <c r="P74" s="3">
        <f>Assumptions!B6</f>
        <v/>
      </c>
      <c r="Q74" s="3">
        <f>Assumptions!B7+Assumptions!B8</f>
        <v/>
      </c>
      <c r="R74" s="3">
        <f>N74+F74+O74+P74+Q74</f>
        <v/>
      </c>
      <c r="S74" s="3" t="n">
        <v>0</v>
      </c>
      <c r="T74" s="3">
        <f>R74-S74*MAX(IFERROR(G74-1,0),0)</f>
        <v/>
      </c>
      <c r="U74" t="n">
        <v>1.4</v>
      </c>
      <c r="V74" t="n">
        <v>17.1</v>
      </c>
      <c r="W74" t="n">
        <v>21.2</v>
      </c>
      <c r="X74" s="8">
        <f>(IF(E74="",2,IF(E74&lt;=400000,3,IF(E74&gt;=500000,1,2))))*0.1+(IF(OR(G74="",G74=0),2,IF((E74/G74)&lt;=200000,3,IF((E74/G74)&gt;=300000,1,2))))*0.1+(IF(F74="",2,IF(F74&lt;=200,3,IF(F74&gt;=400,1,2))))*0.1+(IF(T74="",2,IF(T74&lt;=2000,3,IF(T74&gt;=3000,1,2))))*0.2+(IF(V74="",2,IF(V74&lt;=15,3,IF(V74&gt;=30,1,2))))*0.15+(IF(W74="",2,IF(W74&lt;=15,3,IF(W74&gt;=25,1,2))))*0.1+(IF(U74="",2,IF(U74&lt;=5,3,IF(U74&gt;=15,1,2))))*0.1+(IF(J74="Yes",3,IF(J74="No",1,2)))*0.05+(IF(OR(K74="",UPPER(TRIM(K74))="UNKNOWN"),2,IF(OR(UPPER(TRIM(K74))="NONE",ISNUMBER(SEARCH("no parking",K74))),1,3)))*0.05+(IF(AND(ISNUMBER(I74),I74&gt;=900),3,IF(AND(ISNUMBER(G74),G74&gt;=2),3,IF(AND(ISNUMBER(I74),I74&gt;=700),2,IF(AND(ISNUMBER(I74),I74&lt;700),1,2)))))*0.05</f>
        <v/>
      </c>
      <c r="Y74">
        <f>IF(X74&gt;=2.3,"Green",IF(X74&gt;=1.7,"Yellow","Red"))</f>
        <v/>
      </c>
    </row>
    <row r="75">
      <c r="A75" s="9" t="inlineStr">
        <is>
          <t>156 West St, Quincy, MA 02169</t>
        </is>
      </c>
      <c r="B75" t="inlineStr">
        <is>
          <t>Quincy</t>
        </is>
      </c>
      <c r="C75" s="6" t="inlineStr">
        <is>
          <t>https://www.redfin.com/MA/Quincy/156-West-St-02169/home/8965188</t>
        </is>
      </c>
      <c r="D75" s="7" t="n"/>
      <c r="E75" s="3" t="n">
        <v>579000</v>
      </c>
      <c r="F75" s="3" t="n">
        <v>0</v>
      </c>
      <c r="G75" t="n">
        <v>2</v>
      </c>
      <c r="H75" t="n">
        <v>1.5</v>
      </c>
      <c r="I75" s="4" t="n">
        <v>1088</v>
      </c>
      <c r="J75" t="inlineStr">
        <is>
          <t>No</t>
        </is>
      </c>
      <c r="K75" t="inlineStr">
        <is>
          <t>4 spaces</t>
        </is>
      </c>
      <c r="L75" s="3">
        <f>Assumptions!B3</f>
        <v/>
      </c>
      <c r="M75" s="3">
        <f>E75-L75</f>
        <v/>
      </c>
      <c r="N75" s="3">
        <f>-PMT(Assumptions!B2/12,Assumptions!B4*12,M75)</f>
        <v/>
      </c>
      <c r="O75" s="3">
        <f>E75*Assumptions!B5/12</f>
        <v/>
      </c>
      <c r="P75" s="3">
        <f>Assumptions!B6</f>
        <v/>
      </c>
      <c r="Q75" s="3">
        <f>Assumptions!B7+Assumptions!B8</f>
        <v/>
      </c>
      <c r="R75" s="3">
        <f>N75+F75+O75+P75+Q75</f>
        <v/>
      </c>
      <c r="S75" s="3" t="n">
        <v>1170</v>
      </c>
      <c r="T75" s="3">
        <f>R75-S75*MAX(IFERROR(G75-1,0),0)</f>
        <v/>
      </c>
      <c r="U75" t="n">
        <v>4.2</v>
      </c>
      <c r="V75" t="n">
        <v>16.2</v>
      </c>
      <c r="W75" t="n">
        <v>20.3</v>
      </c>
      <c r="X75" s="8">
        <f>(IF(E75="",2,IF(E75&lt;=400000,3,IF(E75&gt;=500000,1,2))))*0.1+(IF(OR(G75="",G75=0),2,IF((E75/G75)&lt;=200000,3,IF((E75/G75)&gt;=300000,1,2))))*0.1+(IF(F75="",2,IF(F75&lt;=200,3,IF(F75&gt;=400,1,2))))*0.1+(IF(T75="",2,IF(T75&lt;=2000,3,IF(T75&gt;=3000,1,2))))*0.2+(IF(V75="",2,IF(V75&lt;=15,3,IF(V75&gt;=30,1,2))))*0.15+(IF(W75="",2,IF(W75&lt;=15,3,IF(W75&gt;=25,1,2))))*0.1+(IF(U75="",2,IF(U75&lt;=5,3,IF(U75&gt;=15,1,2))))*0.1+(IF(J75="Yes",3,IF(J75="No",1,2)))*0.05+(IF(OR(K75="",UPPER(TRIM(K75))="UNKNOWN"),2,IF(OR(UPPER(TRIM(K75))="NONE",ISNUMBER(SEARCH("no parking",K75))),1,3)))*0.05+(IF(AND(ISNUMBER(I75),I75&gt;=900),3,IF(AND(ISNUMBER(G75),G75&gt;=2),3,IF(AND(ISNUMBER(I75),I75&gt;=700),2,IF(AND(ISNUMBER(I75),I75&lt;700),1,2)))))*0.05</f>
        <v/>
      </c>
      <c r="Y75">
        <f>IF(X75&gt;=2.3,"Green",IF(X75&gt;=1.7,"Yellow","Red"))</f>
        <v/>
      </c>
    </row>
    <row r="76">
      <c r="A76" s="9" t="inlineStr">
        <is>
          <t>134 Sherman St, Quincy, MA 02170</t>
        </is>
      </c>
      <c r="B76" t="inlineStr">
        <is>
          <t>Quincy</t>
        </is>
      </c>
      <c r="C76" s="6" t="inlineStr">
        <is>
          <t>https://www.redfin.com/MA/Quincy/134-Sherman-St-02170/home/8992856</t>
        </is>
      </c>
      <c r="D76" s="7" t="n"/>
      <c r="E76" s="3" t="n">
        <v>589000</v>
      </c>
      <c r="F76" s="3" t="n">
        <v>0</v>
      </c>
      <c r="G76" t="n">
        <v>2</v>
      </c>
      <c r="H76" t="n">
        <v>1</v>
      </c>
      <c r="I76" s="4" t="n">
        <v>1001</v>
      </c>
      <c r="J76" t="inlineStr">
        <is>
          <t>No</t>
        </is>
      </c>
      <c r="K76" t="inlineStr">
        <is>
          <t>5 spaces</t>
        </is>
      </c>
      <c r="L76" s="3">
        <f>Assumptions!B3</f>
        <v/>
      </c>
      <c r="M76" s="3">
        <f>E76-L76</f>
        <v/>
      </c>
      <c r="N76" s="3">
        <f>-PMT(Assumptions!B2/12,Assumptions!B4*12,M76)</f>
        <v/>
      </c>
      <c r="O76" s="3">
        <f>E76*Assumptions!B5/12</f>
        <v/>
      </c>
      <c r="P76" s="3">
        <f>Assumptions!B6</f>
        <v/>
      </c>
      <c r="Q76" s="3">
        <f>Assumptions!B7+Assumptions!B8</f>
        <v/>
      </c>
      <c r="R76" s="3">
        <f>N76+F76+O76+P76+Q76</f>
        <v/>
      </c>
      <c r="S76" s="3" t="n">
        <v>1170</v>
      </c>
      <c r="T76" s="3">
        <f>R76-S76*MAX(IFERROR(G76-1,0),0)</f>
        <v/>
      </c>
      <c r="U76" t="n">
        <v>3.6</v>
      </c>
      <c r="V76" t="n">
        <v>15.2</v>
      </c>
      <c r="W76" t="n">
        <v>19.3</v>
      </c>
      <c r="X76" s="8">
        <f>(IF(E76="",2,IF(E76&lt;=400000,3,IF(E76&gt;=500000,1,2))))*0.1+(IF(OR(G76="",G76=0),2,IF((E76/G76)&lt;=200000,3,IF((E76/G76)&gt;=300000,1,2))))*0.1+(IF(F76="",2,IF(F76&lt;=200,3,IF(F76&gt;=400,1,2))))*0.1+(IF(T76="",2,IF(T76&lt;=2000,3,IF(T76&gt;=3000,1,2))))*0.2+(IF(V76="",2,IF(V76&lt;=15,3,IF(V76&gt;=30,1,2))))*0.15+(IF(W76="",2,IF(W76&lt;=15,3,IF(W76&gt;=25,1,2))))*0.1+(IF(U76="",2,IF(U76&lt;=5,3,IF(U76&gt;=15,1,2))))*0.1+(IF(J76="Yes",3,IF(J76="No",1,2)))*0.05+(IF(OR(K76="",UPPER(TRIM(K76))="UNKNOWN"),2,IF(OR(UPPER(TRIM(K76))="NONE",ISNUMBER(SEARCH("no parking",K76))),1,3)))*0.05+(IF(AND(ISNUMBER(I76),I76&gt;=900),3,IF(AND(ISNUMBER(G76),G76&gt;=2),3,IF(AND(ISNUMBER(I76),I76&gt;=700),2,IF(AND(ISNUMBER(I76),I76&lt;700),1,2)))))*0.05</f>
        <v/>
      </c>
      <c r="Y76">
        <f>IF(X76&gt;=2.3,"Green",IF(X76&gt;=1.7,"Yellow","Red"))</f>
        <v/>
      </c>
    </row>
    <row r="77">
      <c r="A77" s="9" t="inlineStr">
        <is>
          <t>114 Strathmore Rd #404, Brighton, MA 02135</t>
        </is>
      </c>
      <c r="B77" t="inlineStr">
        <is>
          <t>Brighton</t>
        </is>
      </c>
      <c r="C77" s="6" t="inlineStr">
        <is>
          <t>https://www.redfin.com/MA/Brighton/114-Strathmore-Rd-02135/unit-404/home/9026666</t>
        </is>
      </c>
      <c r="D77" s="7" t="n"/>
      <c r="E77" s="3" t="n">
        <v>409000</v>
      </c>
      <c r="F77" s="3" t="n">
        <v>377</v>
      </c>
      <c r="G77" t="n">
        <v>0</v>
      </c>
      <c r="H77" t="n">
        <v>1</v>
      </c>
      <c r="I77" s="4" t="n">
        <v>481</v>
      </c>
      <c r="J77" t="inlineStr">
        <is>
          <t>No</t>
        </is>
      </c>
      <c r="K77" t="inlineStr">
        <is>
          <t>0 spaces</t>
        </is>
      </c>
      <c r="L77" s="3">
        <f>Assumptions!B3</f>
        <v/>
      </c>
      <c r="M77" s="3">
        <f>E77-L77</f>
        <v/>
      </c>
      <c r="N77" s="3">
        <f>-PMT(Assumptions!B2/12,Assumptions!B4*12,M77)</f>
        <v/>
      </c>
      <c r="O77" s="3">
        <f>E77*Assumptions!B5/12</f>
        <v/>
      </c>
      <c r="P77" s="3">
        <f>Assumptions!B6</f>
        <v/>
      </c>
      <c r="Q77" s="3">
        <f>Assumptions!B7+Assumptions!B8</f>
        <v/>
      </c>
      <c r="R77" s="3">
        <f>N77+F77+O77+P77+Q77</f>
        <v/>
      </c>
      <c r="S77" s="3" t="n">
        <v>0</v>
      </c>
      <c r="T77" s="3">
        <f>R77-S77*MAX(IFERROR(G77-1,0),0)</f>
        <v/>
      </c>
      <c r="U77" t="n">
        <v>1.6</v>
      </c>
      <c r="V77" t="n">
        <v>15.6</v>
      </c>
      <c r="W77" t="n">
        <v>13.9</v>
      </c>
      <c r="X77" s="8">
        <f>(IF(E77="",2,IF(E77&lt;=400000,3,IF(E77&gt;=500000,1,2))))*0.1+(IF(OR(G77="",G77=0),2,IF((E77/G77)&lt;=200000,3,IF((E77/G77)&gt;=300000,1,2))))*0.1+(IF(F77="",2,IF(F77&lt;=200,3,IF(F77&gt;=400,1,2))))*0.1+(IF(T77="",2,IF(T77&lt;=2000,3,IF(T77&gt;=3000,1,2))))*0.2+(IF(V77="",2,IF(V77&lt;=15,3,IF(V77&gt;=30,1,2))))*0.15+(IF(W77="",2,IF(W77&lt;=15,3,IF(W77&gt;=25,1,2))))*0.1+(IF(U77="",2,IF(U77&lt;=5,3,IF(U77&gt;=15,1,2))))*0.1+(IF(J77="Yes",3,IF(J77="No",1,2)))*0.05+(IF(OR(K77="",UPPER(TRIM(K77))="UNKNOWN"),2,IF(OR(UPPER(TRIM(K77))="NONE",ISNUMBER(SEARCH("no parking",K77))),1,3)))*0.05+(IF(AND(ISNUMBER(I77),I77&gt;=900),3,IF(AND(ISNUMBER(G77),G77&gt;=2),3,IF(AND(ISNUMBER(I77),I77&gt;=700),2,IF(AND(ISNUMBER(I77),I77&lt;700),1,2)))))*0.05</f>
        <v/>
      </c>
      <c r="Y77">
        <f>IF(X77&gt;=2.3,"Green",IF(X77&gt;=1.7,"Yellow","Red"))</f>
        <v/>
      </c>
    </row>
    <row r="78">
      <c r="A78" s="9" t="inlineStr">
        <is>
          <t>100 W Squantum St #516, Quincy, MA 02171</t>
        </is>
      </c>
      <c r="B78" t="inlineStr">
        <is>
          <t>Quincy</t>
        </is>
      </c>
      <c r="C78" s="6" t="inlineStr">
        <is>
          <t>https://www.redfin.com/MA/Quincy/100-W-Squantum-St-02171/unit-516/home/9018413</t>
        </is>
      </c>
      <c r="D78" s="7" t="inlineStr">
        <is>
          <t>2026-05-11</t>
        </is>
      </c>
      <c r="E78" s="3" t="n">
        <v>399900</v>
      </c>
      <c r="F78" s="3" t="n">
        <v>474</v>
      </c>
      <c r="G78" t="n">
        <v>1</v>
      </c>
      <c r="H78" t="n">
        <v>1</v>
      </c>
      <c r="I78" s="4" t="n">
        <v>645</v>
      </c>
      <c r="J78" t="inlineStr">
        <is>
          <t>No</t>
        </is>
      </c>
      <c r="K78" t="inlineStr">
        <is>
          <t>1 space</t>
        </is>
      </c>
      <c r="L78" s="3">
        <f>Assumptions!B3</f>
        <v/>
      </c>
      <c r="M78" s="3">
        <f>E78-L78</f>
        <v/>
      </c>
      <c r="N78" s="3">
        <f>-PMT(Assumptions!B2/12,Assumptions!B4*12,M78)</f>
        <v/>
      </c>
      <c r="O78" s="3">
        <f>E78*Assumptions!B5/12</f>
        <v/>
      </c>
      <c r="P78" s="3">
        <f>Assumptions!B6</f>
        <v/>
      </c>
      <c r="Q78" s="3">
        <f>Assumptions!B7+Assumptions!B8</f>
        <v/>
      </c>
      <c r="R78" s="3">
        <f>N78+F78+O78+P78+Q78</f>
        <v/>
      </c>
      <c r="S78" s="3" t="n">
        <v>0</v>
      </c>
      <c r="T78" s="3">
        <f>R78-S78*MAX(IFERROR(G78-1,0),0)</f>
        <v/>
      </c>
      <c r="U78" t="n">
        <v>2.5</v>
      </c>
      <c r="V78" t="n">
        <v>13.3</v>
      </c>
      <c r="W78" t="n">
        <v>17.4</v>
      </c>
      <c r="X78" s="8">
        <f>(IF(E78="",2,IF(E78&lt;=400000,3,IF(E78&gt;=500000,1,2))))*0.1+(IF(OR(G78="",G78=0),2,IF((E78/G78)&lt;=200000,3,IF((E78/G78)&gt;=300000,1,2))))*0.1+(IF(F78="",2,IF(F78&lt;=200,3,IF(F78&gt;=400,1,2))))*0.1+(IF(T78="",2,IF(T78&lt;=2000,3,IF(T78&gt;=3000,1,2))))*0.2+(IF(V78="",2,IF(V78&lt;=15,3,IF(V78&gt;=30,1,2))))*0.15+(IF(W78="",2,IF(W78&lt;=15,3,IF(W78&gt;=25,1,2))))*0.1+(IF(U78="",2,IF(U78&lt;=5,3,IF(U78&gt;=15,1,2))))*0.1+(IF(J78="Yes",3,IF(J78="No",1,2)))*0.05+(IF(OR(K78="",UPPER(TRIM(K78))="UNKNOWN"),2,IF(OR(UPPER(TRIM(K78))="NONE",ISNUMBER(SEARCH("no parking",K78))),1,3)))*0.05+(IF(AND(ISNUMBER(I78),I78&gt;=900),3,IF(AND(ISNUMBER(G78),G78&gt;=2),3,IF(AND(ISNUMBER(I78),I78&gt;=700),2,IF(AND(ISNUMBER(I78),I78&lt;700),1,2)))))*0.05</f>
        <v/>
      </c>
      <c r="Y78">
        <f>IF(X78&gt;=2.3,"Green",IF(X78&gt;=1.7,"Yellow","Red"))</f>
        <v/>
      </c>
    </row>
    <row r="79">
      <c r="A79" s="9" t="inlineStr">
        <is>
          <t>8 Ransom Rd #8, Boston, MA 02135</t>
        </is>
      </c>
      <c r="B79" t="inlineStr">
        <is>
          <t>Brighton</t>
        </is>
      </c>
      <c r="C79" s="6" t="inlineStr">
        <is>
          <t>https://www.redfin.com/MA/Boston/8-Ransom-Rd-02135/unit-8/home/113226315</t>
        </is>
      </c>
      <c r="D79" s="7" t="inlineStr">
        <is>
          <t>2026-04-21</t>
        </is>
      </c>
      <c r="E79" s="3" t="n">
        <v>425000</v>
      </c>
      <c r="F79" s="3" t="n">
        <v>496</v>
      </c>
      <c r="G79" t="n">
        <v>1</v>
      </c>
      <c r="H79" t="n">
        <v>1</v>
      </c>
      <c r="I79" s="4" t="n">
        <v>532</v>
      </c>
      <c r="J79" t="inlineStr">
        <is>
          <t>No</t>
        </is>
      </c>
      <c r="K79" t="inlineStr">
        <is>
          <t>0 spaces</t>
        </is>
      </c>
      <c r="L79" s="3">
        <f>Assumptions!B3</f>
        <v/>
      </c>
      <c r="M79" s="3">
        <f>E79-L79</f>
        <v/>
      </c>
      <c r="N79" s="3">
        <f>-PMT(Assumptions!B2/12,Assumptions!B4*12,M79)</f>
        <v/>
      </c>
      <c r="O79" s="3">
        <f>E79*Assumptions!B5/12</f>
        <v/>
      </c>
      <c r="P79" s="3">
        <f>Assumptions!B6</f>
        <v/>
      </c>
      <c r="Q79" s="3">
        <f>Assumptions!B7+Assumptions!B8</f>
        <v/>
      </c>
      <c r="R79" s="3">
        <f>N79+F79+O79+P79+Q79</f>
        <v/>
      </c>
      <c r="S79" s="3" t="n">
        <v>0</v>
      </c>
      <c r="T79" s="3">
        <f>R79-S79*MAX(IFERROR(G79-1,0),0)</f>
        <v/>
      </c>
      <c r="U79" t="n">
        <v>1.6</v>
      </c>
      <c r="V79" t="n">
        <v>14.9</v>
      </c>
      <c r="W79" t="n">
        <v>14.5</v>
      </c>
      <c r="X79" s="8">
        <f>(IF(E79="",2,IF(E79&lt;=400000,3,IF(E79&gt;=500000,1,2))))*0.1+(IF(OR(G79="",G79=0),2,IF((E79/G79)&lt;=200000,3,IF((E79/G79)&gt;=300000,1,2))))*0.1+(IF(F79="",2,IF(F79&lt;=200,3,IF(F79&gt;=400,1,2))))*0.1+(IF(T79="",2,IF(T79&lt;=2000,3,IF(T79&gt;=3000,1,2))))*0.2+(IF(V79="",2,IF(V79&lt;=15,3,IF(V79&gt;=30,1,2))))*0.15+(IF(W79="",2,IF(W79&lt;=15,3,IF(W79&gt;=25,1,2))))*0.1+(IF(U79="",2,IF(U79&lt;=5,3,IF(U79&gt;=15,1,2))))*0.1+(IF(J79="Yes",3,IF(J79="No",1,2)))*0.05+(IF(OR(K79="",UPPER(TRIM(K79))="UNKNOWN"),2,IF(OR(UPPER(TRIM(K79))="NONE",ISNUMBER(SEARCH("no parking",K79))),1,3)))*0.05+(IF(AND(ISNUMBER(I79),I79&gt;=900),3,IF(AND(ISNUMBER(G79),G79&gt;=2),3,IF(AND(ISNUMBER(I79),I79&gt;=700),2,IF(AND(ISNUMBER(I79),I79&lt;700),1,2)))))*0.05</f>
        <v/>
      </c>
      <c r="Y79">
        <f>IF(X79&gt;=2.3,"Green",IF(X79&gt;=1.7,"Yellow","Red"))</f>
        <v/>
      </c>
    </row>
    <row r="80">
      <c r="A80" s="9" t="inlineStr">
        <is>
          <t>60 Cross St, East #103, Somerville, MA 02145</t>
        </is>
      </c>
      <c r="B80" t="inlineStr">
        <is>
          <t>Somerville</t>
        </is>
      </c>
      <c r="C80" s="6" t="inlineStr">
        <is>
          <t>https://www.redfin.com/MA/Somerville/60-Cross-St-E-02145/unit-103/home/179892656</t>
        </is>
      </c>
      <c r="D80" s="7" t="inlineStr">
        <is>
          <t>2026-04-16</t>
        </is>
      </c>
      <c r="E80" s="3" t="n">
        <v>600000</v>
      </c>
      <c r="F80" s="3" t="n">
        <v>288</v>
      </c>
      <c r="G80" t="n">
        <v>1</v>
      </c>
      <c r="H80" t="n">
        <v>1</v>
      </c>
      <c r="I80" s="4" t="n">
        <v>682</v>
      </c>
      <c r="J80" t="inlineStr">
        <is>
          <t>No</t>
        </is>
      </c>
      <c r="K80" t="inlineStr">
        <is>
          <t>1 space</t>
        </is>
      </c>
      <c r="L80" s="3">
        <f>Assumptions!B3</f>
        <v/>
      </c>
      <c r="M80" s="3">
        <f>E80-L80</f>
        <v/>
      </c>
      <c r="N80" s="3">
        <f>-PMT(Assumptions!B2/12,Assumptions!B4*12,M80)</f>
        <v/>
      </c>
      <c r="O80" s="3">
        <f>E80*Assumptions!B5/12</f>
        <v/>
      </c>
      <c r="P80" s="3">
        <f>Assumptions!B6</f>
        <v/>
      </c>
      <c r="Q80" s="3">
        <f>Assumptions!B7+Assumptions!B8</f>
        <v/>
      </c>
      <c r="R80" s="3">
        <f>N80+F80+O80+P80+Q80</f>
        <v/>
      </c>
      <c r="S80" s="3" t="n">
        <v>0</v>
      </c>
      <c r="T80" s="3">
        <f>R80-S80*MAX(IFERROR(G80-1,0),0)</f>
        <v/>
      </c>
      <c r="U80" t="n">
        <v>3.1</v>
      </c>
      <c r="V80" t="n">
        <v>8.199999999999999</v>
      </c>
      <c r="W80" t="n">
        <v>6.4</v>
      </c>
      <c r="X80" s="8">
        <f>(IF(E80="",2,IF(E80&lt;=400000,3,IF(E80&gt;=500000,1,2))))*0.1+(IF(OR(G80="",G80=0),2,IF((E80/G80)&lt;=200000,3,IF((E80/G80)&gt;=300000,1,2))))*0.1+(IF(F80="",2,IF(F80&lt;=200,3,IF(F80&gt;=400,1,2))))*0.1+(IF(T80="",2,IF(T80&lt;=2000,3,IF(T80&gt;=3000,1,2))))*0.2+(IF(V80="",2,IF(V80&lt;=15,3,IF(V80&gt;=30,1,2))))*0.15+(IF(W80="",2,IF(W80&lt;=15,3,IF(W80&gt;=25,1,2))))*0.1+(IF(U80="",2,IF(U80&lt;=5,3,IF(U80&gt;=15,1,2))))*0.1+(IF(J80="Yes",3,IF(J80="No",1,2)))*0.05+(IF(OR(K80="",UPPER(TRIM(K80))="UNKNOWN"),2,IF(OR(UPPER(TRIM(K80))="NONE",ISNUMBER(SEARCH("no parking",K80))),1,3)))*0.05+(IF(AND(ISNUMBER(I80),I80&gt;=900),3,IF(AND(ISNUMBER(G80),G80&gt;=2),3,IF(AND(ISNUMBER(I80),I80&gt;=700),2,IF(AND(ISNUMBER(I80),I80&lt;700),1,2)))))*0.05</f>
        <v/>
      </c>
      <c r="Y80">
        <f>IF(X80&gt;=2.3,"Green",IF(X80&gt;=1.7,"Yellow","Red"))</f>
        <v/>
      </c>
    </row>
    <row r="81">
      <c r="A81" s="9" t="inlineStr">
        <is>
          <t>185 Hamilton St #3, Cambridge, MA 02139</t>
        </is>
      </c>
      <c r="B81" t="inlineStr">
        <is>
          <t>Cambridge</t>
        </is>
      </c>
      <c r="C81" s="6" t="inlineStr">
        <is>
          <t>https://www.redfin.com/MA/Cambridge/185-Hamilton-St-02139/unit-3/home/138460947</t>
        </is>
      </c>
      <c r="D81" s="7" t="inlineStr">
        <is>
          <t>2026-05-06</t>
        </is>
      </c>
      <c r="E81" s="3" t="n">
        <v>520000</v>
      </c>
      <c r="F81" s="3" t="n">
        <v>279</v>
      </c>
      <c r="G81" t="n">
        <v>1</v>
      </c>
      <c r="H81" t="n">
        <v>1</v>
      </c>
      <c r="I81" s="4" t="n">
        <v>592</v>
      </c>
      <c r="J81" t="inlineStr">
        <is>
          <t>No</t>
        </is>
      </c>
      <c r="K81" t="inlineStr">
        <is>
          <t>0 spaces</t>
        </is>
      </c>
      <c r="L81" s="3">
        <f>Assumptions!B3</f>
        <v/>
      </c>
      <c r="M81" s="3">
        <f>E81-L81</f>
        <v/>
      </c>
      <c r="N81" s="3">
        <f>-PMT(Assumptions!B2/12,Assumptions!B4*12,M81)</f>
        <v/>
      </c>
      <c r="O81" s="3">
        <f>E81*Assumptions!B5/12</f>
        <v/>
      </c>
      <c r="P81" s="3">
        <f>Assumptions!B6</f>
        <v/>
      </c>
      <c r="Q81" s="3">
        <f>Assumptions!B7+Assumptions!B8</f>
        <v/>
      </c>
      <c r="R81" s="3">
        <f>N81+F81+O81+P81+Q81</f>
        <v/>
      </c>
      <c r="S81" s="3" t="n">
        <v>0</v>
      </c>
      <c r="T81" s="3">
        <f>R81-S81*MAX(IFERROR(G81-1,0),0)</f>
        <v/>
      </c>
      <c r="U81" t="n">
        <v>2.6</v>
      </c>
      <c r="V81" t="n">
        <v>12.6</v>
      </c>
      <c r="W81" t="n">
        <v>6.3</v>
      </c>
      <c r="X81" s="8">
        <f>(IF(E81="",2,IF(E81&lt;=400000,3,IF(E81&gt;=500000,1,2))))*0.1+(IF(OR(G81="",G81=0),2,IF((E81/G81)&lt;=200000,3,IF((E81/G81)&gt;=300000,1,2))))*0.1+(IF(F81="",2,IF(F81&lt;=200,3,IF(F81&gt;=400,1,2))))*0.1+(IF(T81="",2,IF(T81&lt;=2000,3,IF(T81&gt;=3000,1,2))))*0.2+(IF(V81="",2,IF(V81&lt;=15,3,IF(V81&gt;=30,1,2))))*0.15+(IF(W81="",2,IF(W81&lt;=15,3,IF(W81&gt;=25,1,2))))*0.1+(IF(U81="",2,IF(U81&lt;=5,3,IF(U81&gt;=15,1,2))))*0.1+(IF(J81="Yes",3,IF(J81="No",1,2)))*0.05+(IF(OR(K81="",UPPER(TRIM(K81))="UNKNOWN"),2,IF(OR(UPPER(TRIM(K81))="NONE",ISNUMBER(SEARCH("no parking",K81))),1,3)))*0.05+(IF(AND(ISNUMBER(I81),I81&gt;=900),3,IF(AND(ISNUMBER(G81),G81&gt;=2),3,IF(AND(ISNUMBER(I81),I81&gt;=700),2,IF(AND(ISNUMBER(I81),I81&lt;700),1,2)))))*0.05</f>
        <v/>
      </c>
      <c r="Y81">
        <f>IF(X81&gt;=2.3,"Green",IF(X81&gt;=1.7,"Yellow","Red"))</f>
        <v/>
      </c>
    </row>
    <row r="82">
      <c r="A82" s="9" t="inlineStr">
        <is>
          <t>287 Harvard St #71, Cambridge, MA 02141</t>
        </is>
      </c>
      <c r="B82" t="inlineStr">
        <is>
          <t>Cambridge</t>
        </is>
      </c>
      <c r="C82" s="6" t="inlineStr">
        <is>
          <t>https://www.redfin.com/MA/Cambridge/287-Harvard-St-02139/unit-71/home/11562425</t>
        </is>
      </c>
      <c r="D82" s="7" t="inlineStr">
        <is>
          <t>2026-04-30</t>
        </is>
      </c>
      <c r="E82" s="3" t="n">
        <v>585000</v>
      </c>
      <c r="F82" s="3" t="n">
        <v>279</v>
      </c>
      <c r="G82" t="n">
        <v>1</v>
      </c>
      <c r="H82" t="n">
        <v>1</v>
      </c>
      <c r="I82" s="4" t="n">
        <v>550</v>
      </c>
      <c r="J82" t="inlineStr">
        <is>
          <t>No</t>
        </is>
      </c>
      <c r="K82" t="inlineStr">
        <is>
          <t>1 space</t>
        </is>
      </c>
      <c r="L82" s="3">
        <f>Assumptions!B3</f>
        <v/>
      </c>
      <c r="M82" s="3">
        <f>E82-L82</f>
        <v/>
      </c>
      <c r="N82" s="3">
        <f>-PMT(Assumptions!B2/12,Assumptions!B4*12,M82)</f>
        <v/>
      </c>
      <c r="O82" s="3">
        <f>E82*Assumptions!B5/12</f>
        <v/>
      </c>
      <c r="P82" s="3">
        <f>Assumptions!B6</f>
        <v/>
      </c>
      <c r="Q82" s="3">
        <f>Assumptions!B7+Assumptions!B8</f>
        <v/>
      </c>
      <c r="R82" s="3">
        <f>N82+F82+O82+P82+Q82</f>
        <v/>
      </c>
      <c r="S82" s="3" t="n">
        <v>0</v>
      </c>
      <c r="T82" s="3">
        <f>R82-S82*MAX(IFERROR(G82-1,0),0)</f>
        <v/>
      </c>
      <c r="U82" t="n">
        <v>1.7</v>
      </c>
      <c r="V82" t="n">
        <v>12.3</v>
      </c>
      <c r="W82" t="n">
        <v>4.7</v>
      </c>
      <c r="X82" s="8">
        <f>(IF(E82="",2,IF(E82&lt;=400000,3,IF(E82&gt;=500000,1,2))))*0.1+(IF(OR(G82="",G82=0),2,IF((E82/G82)&lt;=200000,3,IF((E82/G82)&gt;=300000,1,2))))*0.1+(IF(F82="",2,IF(F82&lt;=200,3,IF(F82&gt;=400,1,2))))*0.1+(IF(T82="",2,IF(T82&lt;=2000,3,IF(T82&gt;=3000,1,2))))*0.2+(IF(V82="",2,IF(V82&lt;=15,3,IF(V82&gt;=30,1,2))))*0.15+(IF(W82="",2,IF(W82&lt;=15,3,IF(W82&gt;=25,1,2))))*0.1+(IF(U82="",2,IF(U82&lt;=5,3,IF(U82&gt;=15,1,2))))*0.1+(IF(J82="Yes",3,IF(J82="No",1,2)))*0.05+(IF(OR(K82="",UPPER(TRIM(K82))="UNKNOWN"),2,IF(OR(UPPER(TRIM(K82))="NONE",ISNUMBER(SEARCH("no parking",K82))),1,3)))*0.05+(IF(AND(ISNUMBER(I82),I82&gt;=900),3,IF(AND(ISNUMBER(G82),G82&gt;=2),3,IF(AND(ISNUMBER(I82),I82&gt;=700),2,IF(AND(ISNUMBER(I82),I82&lt;700),1,2)))))*0.05</f>
        <v/>
      </c>
      <c r="Y82">
        <f>IF(X82&gt;=2.3,"Green",IF(X82&gt;=1.7,"Yellow","Red"))</f>
        <v/>
      </c>
    </row>
    <row r="83">
      <c r="A83" s="9" t="inlineStr">
        <is>
          <t>169 Monsignor Obrien Hwy #213, Cambridge, MA 02141</t>
        </is>
      </c>
      <c r="B83" t="inlineStr">
        <is>
          <t>Cambridge</t>
        </is>
      </c>
      <c r="C83" s="6" t="inlineStr">
        <is>
          <t>https://www.redfin.com/MA/Cambridge/169-Monsignor-Obrien-Hwy-02141/unit-213/home/11601127</t>
        </is>
      </c>
      <c r="D83" s="7" t="inlineStr">
        <is>
          <t>2026-04-22</t>
        </is>
      </c>
      <c r="E83" s="3" t="n">
        <v>519900</v>
      </c>
      <c r="F83" s="3" t="n">
        <v>486</v>
      </c>
      <c r="G83" t="n">
        <v>0</v>
      </c>
      <c r="H83" t="n">
        <v>1</v>
      </c>
      <c r="I83" s="4" t="n">
        <v>540</v>
      </c>
      <c r="J83" t="inlineStr">
        <is>
          <t>No</t>
        </is>
      </c>
      <c r="K83" t="inlineStr">
        <is>
          <t>0 spaces</t>
        </is>
      </c>
      <c r="L83" s="3">
        <f>Assumptions!B3</f>
        <v/>
      </c>
      <c r="M83" s="3">
        <f>E83-L83</f>
        <v/>
      </c>
      <c r="N83" s="3">
        <f>-PMT(Assumptions!B2/12,Assumptions!B4*12,M83)</f>
        <v/>
      </c>
      <c r="O83" s="3">
        <f>E83*Assumptions!B5/12</f>
        <v/>
      </c>
      <c r="P83" s="3">
        <f>Assumptions!B6</f>
        <v/>
      </c>
      <c r="Q83" s="3">
        <f>Assumptions!B7+Assumptions!B8</f>
        <v/>
      </c>
      <c r="R83" s="3">
        <f>N83+F83+O83+P83+Q83</f>
        <v/>
      </c>
      <c r="S83" s="3" t="n">
        <v>0</v>
      </c>
      <c r="T83" s="3">
        <f>R83-S83*MAX(IFERROR(G83-1,0),0)</f>
        <v/>
      </c>
      <c r="U83" t="n">
        <v>1.3</v>
      </c>
      <c r="V83" t="n">
        <v>7.7</v>
      </c>
      <c r="W83" t="n">
        <v>3.9</v>
      </c>
      <c r="X83" s="8">
        <f>(IF(E83="",2,IF(E83&lt;=400000,3,IF(E83&gt;=500000,1,2))))*0.1+(IF(OR(G83="",G83=0),2,IF((E83/G83)&lt;=200000,3,IF((E83/G83)&gt;=300000,1,2))))*0.1+(IF(F83="",2,IF(F83&lt;=200,3,IF(F83&gt;=400,1,2))))*0.1+(IF(T83="",2,IF(T83&lt;=2000,3,IF(T83&gt;=3000,1,2))))*0.2+(IF(V83="",2,IF(V83&lt;=15,3,IF(V83&gt;=30,1,2))))*0.15+(IF(W83="",2,IF(W83&lt;=15,3,IF(W83&gt;=25,1,2))))*0.1+(IF(U83="",2,IF(U83&lt;=5,3,IF(U83&gt;=15,1,2))))*0.1+(IF(J83="Yes",3,IF(J83="No",1,2)))*0.05+(IF(OR(K83="",UPPER(TRIM(K83))="UNKNOWN"),2,IF(OR(UPPER(TRIM(K83))="NONE",ISNUMBER(SEARCH("no parking",K83))),1,3)))*0.05+(IF(AND(ISNUMBER(I83),I83&gt;=900),3,IF(AND(ISNUMBER(G83),G83&gt;=2),3,IF(AND(ISNUMBER(I83),I83&gt;=700),2,IF(AND(ISNUMBER(I83),I83&lt;700),1,2)))))*0.05</f>
        <v/>
      </c>
      <c r="Y83">
        <f>IF(X83&gt;=2.3,"Green",IF(X83&gt;=1.7,"Yellow","Red"))</f>
        <v/>
      </c>
    </row>
    <row r="84">
      <c r="A84" s="9" t="inlineStr">
        <is>
          <t>109 Winchester #6, Brookline, MA 02446</t>
        </is>
      </c>
      <c r="B84" t="inlineStr">
        <is>
          <t>Brookline</t>
        </is>
      </c>
      <c r="C84" s="6" t="inlineStr">
        <is>
          <t>https://www.redfin.com/MA/Brookline/109-Winchester-St-02446/unit-6/home/11451033</t>
        </is>
      </c>
      <c r="D84" s="7" t="inlineStr">
        <is>
          <t>2026-05-07</t>
        </is>
      </c>
      <c r="E84" s="3" t="n">
        <v>499500</v>
      </c>
      <c r="F84" s="3" t="n">
        <v>423</v>
      </c>
      <c r="G84" t="n">
        <v>1</v>
      </c>
      <c r="H84" t="n">
        <v>1</v>
      </c>
      <c r="I84" s="4" t="n">
        <v>564</v>
      </c>
      <c r="J84" t="inlineStr">
        <is>
          <t>No</t>
        </is>
      </c>
      <c r="K84" t="inlineStr">
        <is>
          <t>0 spaces</t>
        </is>
      </c>
      <c r="L84" s="3">
        <f>Assumptions!B3</f>
        <v/>
      </c>
      <c r="M84" s="3">
        <f>E84-L84</f>
        <v/>
      </c>
      <c r="N84" s="3">
        <f>-PMT(Assumptions!B2/12,Assumptions!B4*12,M84)</f>
        <v/>
      </c>
      <c r="O84" s="3">
        <f>E84*Assumptions!B5/12</f>
        <v/>
      </c>
      <c r="P84" s="3">
        <f>Assumptions!B6</f>
        <v/>
      </c>
      <c r="Q84" s="3">
        <f>Assumptions!B7+Assumptions!B8</f>
        <v/>
      </c>
      <c r="R84" s="3">
        <f>N84+F84+O84+P84+Q84</f>
        <v/>
      </c>
      <c r="S84" s="3" t="n">
        <v>0</v>
      </c>
      <c r="T84" s="3">
        <f>R84-S84*MAX(IFERROR(G84-1,0),0)</f>
        <v/>
      </c>
      <c r="U84" t="n">
        <v>3</v>
      </c>
      <c r="V84" t="n">
        <v>12.6</v>
      </c>
      <c r="W84" t="n">
        <v>11.9</v>
      </c>
      <c r="X84" s="8">
        <f>(IF(E84="",2,IF(E84&lt;=400000,3,IF(E84&gt;=500000,1,2))))*0.1+(IF(OR(G84="",G84=0),2,IF((E84/G84)&lt;=200000,3,IF((E84/G84)&gt;=300000,1,2))))*0.1+(IF(F84="",2,IF(F84&lt;=200,3,IF(F84&gt;=400,1,2))))*0.1+(IF(T84="",2,IF(T84&lt;=2000,3,IF(T84&gt;=3000,1,2))))*0.2+(IF(V84="",2,IF(V84&lt;=15,3,IF(V84&gt;=30,1,2))))*0.15+(IF(W84="",2,IF(W84&lt;=15,3,IF(W84&gt;=25,1,2))))*0.1+(IF(U84="",2,IF(U84&lt;=5,3,IF(U84&gt;=15,1,2))))*0.1+(IF(J84="Yes",3,IF(J84="No",1,2)))*0.05+(IF(OR(K84="",UPPER(TRIM(K84))="UNKNOWN"),2,IF(OR(UPPER(TRIM(K84))="NONE",ISNUMBER(SEARCH("no parking",K84))),1,3)))*0.05+(IF(AND(ISNUMBER(I84),I84&gt;=900),3,IF(AND(ISNUMBER(G84),G84&gt;=2),3,IF(AND(ISNUMBER(I84),I84&gt;=700),2,IF(AND(ISNUMBER(I84),I84&lt;700),1,2)))))*0.05</f>
        <v/>
      </c>
      <c r="Y84">
        <f>IF(X84&gt;=2.3,"Green",IF(X84&gt;=1.7,"Yellow","Red"))</f>
        <v/>
      </c>
    </row>
    <row r="85">
      <c r="A85" s="9" t="inlineStr">
        <is>
          <t>97 Sewall Ave #5, Brookline, MA 02446</t>
        </is>
      </c>
      <c r="B85" t="inlineStr">
        <is>
          <t>Brookline</t>
        </is>
      </c>
      <c r="C85" s="6" t="inlineStr">
        <is>
          <t>https://www.redfin.com/MA/Brookline/97-Sewall-Ave-02446/unit-5/home/11459351</t>
        </is>
      </c>
      <c r="D85" s="7" t="inlineStr">
        <is>
          <t>2026-04-29</t>
        </is>
      </c>
      <c r="E85" s="3" t="n">
        <v>549000</v>
      </c>
      <c r="F85" s="3" t="n">
        <v>233</v>
      </c>
      <c r="G85" t="n">
        <v>1</v>
      </c>
      <c r="H85" t="n">
        <v>1</v>
      </c>
      <c r="I85" s="4" t="n">
        <v>650</v>
      </c>
      <c r="J85" t="inlineStr">
        <is>
          <t>No</t>
        </is>
      </c>
      <c r="K85" t="inlineStr">
        <is>
          <t>1 space</t>
        </is>
      </c>
      <c r="L85" s="3">
        <f>Assumptions!B3</f>
        <v/>
      </c>
      <c r="M85" s="3">
        <f>E85-L85</f>
        <v/>
      </c>
      <c r="N85" s="3">
        <f>-PMT(Assumptions!B2/12,Assumptions!B4*12,M85)</f>
        <v/>
      </c>
      <c r="O85" s="3">
        <f>E85*Assumptions!B5/12</f>
        <v/>
      </c>
      <c r="P85" s="3">
        <f>Assumptions!B6</f>
        <v/>
      </c>
      <c r="Q85" s="3">
        <f>Assumptions!B7+Assumptions!B8</f>
        <v/>
      </c>
      <c r="R85" s="3">
        <f>N85+F85+O85+P85+Q85</f>
        <v/>
      </c>
      <c r="S85" s="3" t="n">
        <v>0</v>
      </c>
      <c r="T85" s="3">
        <f>R85-S85*MAX(IFERROR(G85-1,0),0)</f>
        <v/>
      </c>
      <c r="U85" t="n">
        <v>1.1</v>
      </c>
      <c r="V85" t="n">
        <v>14</v>
      </c>
      <c r="W85" t="n">
        <v>10.6</v>
      </c>
      <c r="X85" s="8">
        <f>(IF(E85="",2,IF(E85&lt;=400000,3,IF(E85&gt;=500000,1,2))))*0.1+(IF(OR(G85="",G85=0),2,IF((E85/G85)&lt;=200000,3,IF((E85/G85)&gt;=300000,1,2))))*0.1+(IF(F85="",2,IF(F85&lt;=200,3,IF(F85&gt;=400,1,2))))*0.1+(IF(T85="",2,IF(T85&lt;=2000,3,IF(T85&gt;=3000,1,2))))*0.2+(IF(V85="",2,IF(V85&lt;=15,3,IF(V85&gt;=30,1,2))))*0.15+(IF(W85="",2,IF(W85&lt;=15,3,IF(W85&gt;=25,1,2))))*0.1+(IF(U85="",2,IF(U85&lt;=5,3,IF(U85&gt;=15,1,2))))*0.1+(IF(J85="Yes",3,IF(J85="No",1,2)))*0.05+(IF(OR(K85="",UPPER(TRIM(K85))="UNKNOWN"),2,IF(OR(UPPER(TRIM(K85))="NONE",ISNUMBER(SEARCH("no parking",K85))),1,3)))*0.05+(IF(AND(ISNUMBER(I85),I85&gt;=900),3,IF(AND(ISNUMBER(G85),G85&gt;=2),3,IF(AND(ISNUMBER(I85),I85&gt;=700),2,IF(AND(ISNUMBER(I85),I85&lt;700),1,2)))))*0.05</f>
        <v/>
      </c>
      <c r="Y85">
        <f>IF(X85&gt;=2.3,"Green",IF(X85&gt;=1.7,"Yellow","Red"))</f>
        <v/>
      </c>
    </row>
    <row r="86">
      <c r="A86" s="9" t="inlineStr">
        <is>
          <t>125 Park Dr #41, Boston, MA 02215</t>
        </is>
      </c>
      <c r="B86" t="inlineStr">
        <is>
          <t>Brookline</t>
        </is>
      </c>
      <c r="C86" s="6" t="inlineStr">
        <is>
          <t>https://www.redfin.com/MA/Boston/125-Park-Dr-02215/unit-41/home/9241281</t>
        </is>
      </c>
      <c r="D86" s="7" t="inlineStr">
        <is>
          <t>2026-05-11</t>
        </is>
      </c>
      <c r="E86" s="3" t="n">
        <v>560000</v>
      </c>
      <c r="F86" s="3" t="n">
        <v>393</v>
      </c>
      <c r="G86" t="n">
        <v>1</v>
      </c>
      <c r="H86" t="n">
        <v>1</v>
      </c>
      <c r="I86" s="4" t="n">
        <v>574</v>
      </c>
      <c r="J86" t="inlineStr">
        <is>
          <t>No</t>
        </is>
      </c>
      <c r="K86" t="inlineStr">
        <is>
          <t>0 spaces</t>
        </is>
      </c>
      <c r="L86" s="3">
        <f>Assumptions!B3</f>
        <v/>
      </c>
      <c r="M86" s="3">
        <f>E86-L86</f>
        <v/>
      </c>
      <c r="N86" s="3">
        <f>-PMT(Assumptions!B2/12,Assumptions!B4*12,M86)</f>
        <v/>
      </c>
      <c r="O86" s="3">
        <f>E86*Assumptions!B5/12</f>
        <v/>
      </c>
      <c r="P86" s="3">
        <f>Assumptions!B6</f>
        <v/>
      </c>
      <c r="Q86" s="3">
        <f>Assumptions!B7+Assumptions!B8</f>
        <v/>
      </c>
      <c r="R86" s="3">
        <f>N86+F86+O86+P86+Q86</f>
        <v/>
      </c>
      <c r="S86" s="3" t="n">
        <v>0</v>
      </c>
      <c r="T86" s="3">
        <f>R86-S86*MAX(IFERROR(G86-1,0),0)</f>
        <v/>
      </c>
      <c r="U86" t="n">
        <v>1.3</v>
      </c>
      <c r="V86" t="n">
        <v>12.2</v>
      </c>
      <c r="W86" t="n">
        <v>9.5</v>
      </c>
      <c r="X86" s="8">
        <f>(IF(E86="",2,IF(E86&lt;=400000,3,IF(E86&gt;=500000,1,2))))*0.1+(IF(OR(G86="",G86=0),2,IF((E86/G86)&lt;=200000,3,IF((E86/G86)&gt;=300000,1,2))))*0.1+(IF(F86="",2,IF(F86&lt;=200,3,IF(F86&gt;=400,1,2))))*0.1+(IF(T86="",2,IF(T86&lt;=2000,3,IF(T86&gt;=3000,1,2))))*0.2+(IF(V86="",2,IF(V86&lt;=15,3,IF(V86&gt;=30,1,2))))*0.15+(IF(W86="",2,IF(W86&lt;=15,3,IF(W86&gt;=25,1,2))))*0.1+(IF(U86="",2,IF(U86&lt;=5,3,IF(U86&gt;=15,1,2))))*0.1+(IF(J86="Yes",3,IF(J86="No",1,2)))*0.05+(IF(OR(K86="",UPPER(TRIM(K86))="UNKNOWN"),2,IF(OR(UPPER(TRIM(K86))="NONE",ISNUMBER(SEARCH("no parking",K86))),1,3)))*0.05+(IF(AND(ISNUMBER(I86),I86&gt;=900),3,IF(AND(ISNUMBER(G86),G86&gt;=2),3,IF(AND(ISNUMBER(I86),I86&gt;=700),2,IF(AND(ISNUMBER(I86),I86&lt;700),1,2)))))*0.05</f>
        <v/>
      </c>
      <c r="Y86">
        <f>IF(X86&gt;=2.3,"Green",IF(X86&gt;=1.7,"Yellow","Red"))</f>
        <v/>
      </c>
    </row>
    <row r="87">
      <c r="A87" s="9" t="inlineStr">
        <is>
          <t>4 Franklin St #202, Boston, MA 02134</t>
        </is>
      </c>
      <c r="B87" t="inlineStr">
        <is>
          <t>Allston</t>
        </is>
      </c>
      <c r="C87" s="6" t="inlineStr">
        <is>
          <t>https://www.redfin.com/MA/Boston/4-Franklin-St-02134/unit-202/home/190592119</t>
        </is>
      </c>
      <c r="D87" s="7" t="n"/>
      <c r="E87" s="3" t="n">
        <v>588000</v>
      </c>
      <c r="F87" s="3" t="n">
        <v>243</v>
      </c>
      <c r="G87" t="n">
        <v>1</v>
      </c>
      <c r="H87" t="n">
        <v>1</v>
      </c>
      <c r="I87" s="4" t="n">
        <v>641</v>
      </c>
      <c r="J87" t="inlineStr">
        <is>
          <t>No</t>
        </is>
      </c>
      <c r="K87" t="inlineStr">
        <is>
          <t>1 space</t>
        </is>
      </c>
      <c r="L87" s="3">
        <f>Assumptions!B3</f>
        <v/>
      </c>
      <c r="M87" s="3">
        <f>E87-L87</f>
        <v/>
      </c>
      <c r="N87" s="3">
        <f>-PMT(Assumptions!B2/12,Assumptions!B4*12,M87)</f>
        <v/>
      </c>
      <c r="O87" s="3">
        <f>E87*Assumptions!B5/12</f>
        <v/>
      </c>
      <c r="P87" s="3">
        <f>Assumptions!B6</f>
        <v/>
      </c>
      <c r="Q87" s="3">
        <f>Assumptions!B7+Assumptions!B8</f>
        <v/>
      </c>
      <c r="R87" s="3">
        <f>N87+F87+O87+P87+Q87</f>
        <v/>
      </c>
      <c r="S87" s="3" t="n">
        <v>0</v>
      </c>
      <c r="T87" s="3">
        <f>R87-S87*MAX(IFERROR(G87-1,0),0)</f>
        <v/>
      </c>
      <c r="U87" t="n">
        <v>1.4</v>
      </c>
      <c r="V87" t="n">
        <v>9.699999999999999</v>
      </c>
      <c r="W87" t="n">
        <v>9.300000000000001</v>
      </c>
      <c r="X87" s="8">
        <f>(IF(E87="",2,IF(E87&lt;=400000,3,IF(E87&gt;=500000,1,2))))*0.1+(IF(OR(G87="",G87=0),2,IF((E87/G87)&lt;=200000,3,IF((E87/G87)&gt;=300000,1,2))))*0.1+(IF(F87="",2,IF(F87&lt;=200,3,IF(F87&gt;=400,1,2))))*0.1+(IF(T87="",2,IF(T87&lt;=2000,3,IF(T87&gt;=3000,1,2))))*0.2+(IF(V87="",2,IF(V87&lt;=15,3,IF(V87&gt;=30,1,2))))*0.15+(IF(W87="",2,IF(W87&lt;=15,3,IF(W87&gt;=25,1,2))))*0.1+(IF(U87="",2,IF(U87&lt;=5,3,IF(U87&gt;=15,1,2))))*0.1+(IF(J87="Yes",3,IF(J87="No",1,2)))*0.05+(IF(OR(K87="",UPPER(TRIM(K87))="UNKNOWN"),2,IF(OR(UPPER(TRIM(K87))="NONE",ISNUMBER(SEARCH("no parking",K87))),1,3)))*0.05+(IF(AND(ISNUMBER(I87),I87&gt;=900),3,IF(AND(ISNUMBER(G87),G87&gt;=2),3,IF(AND(ISNUMBER(I87),I87&gt;=700),2,IF(AND(ISNUMBER(I87),I87&lt;700),1,2)))))*0.05</f>
        <v/>
      </c>
      <c r="Y87">
        <f>IF(X87&gt;=2.3,"Green",IF(X87&gt;=1.7,"Yellow","Red"))</f>
        <v/>
      </c>
    </row>
    <row r="88">
      <c r="A88" s="9" t="inlineStr">
        <is>
          <t>111 Jersey St #15, Boston, MA 02215</t>
        </is>
      </c>
      <c r="B88" t="inlineStr">
        <is>
          <t>Brookline</t>
        </is>
      </c>
      <c r="C88" s="6" t="inlineStr">
        <is>
          <t>https://www.redfin.com/MA/Boston/111-Jersey-St-02215/unit-15/home/9317643</t>
        </is>
      </c>
      <c r="D88" s="7" t="n"/>
      <c r="E88" s="3" t="n">
        <v>529000</v>
      </c>
      <c r="F88" s="3" t="n">
        <v>281</v>
      </c>
      <c r="G88" t="n">
        <v>1</v>
      </c>
      <c r="H88" t="n">
        <v>1</v>
      </c>
      <c r="I88" s="4" t="n">
        <v>395</v>
      </c>
      <c r="J88" t="inlineStr">
        <is>
          <t>No</t>
        </is>
      </c>
      <c r="K88" t="inlineStr">
        <is>
          <t>0 spaces</t>
        </is>
      </c>
      <c r="L88" s="3">
        <f>Assumptions!B3</f>
        <v/>
      </c>
      <c r="M88" s="3">
        <f>E88-L88</f>
        <v/>
      </c>
      <c r="N88" s="3">
        <f>-PMT(Assumptions!B2/12,Assumptions!B4*12,M88)</f>
        <v/>
      </c>
      <c r="O88" s="3">
        <f>E88*Assumptions!B5/12</f>
        <v/>
      </c>
      <c r="P88" s="3">
        <f>Assumptions!B6</f>
        <v/>
      </c>
      <c r="Q88" s="3">
        <f>Assumptions!B7+Assumptions!B8</f>
        <v/>
      </c>
      <c r="R88" s="3">
        <f>N88+F88+O88+P88+Q88</f>
        <v/>
      </c>
      <c r="S88" s="3" t="n">
        <v>0</v>
      </c>
      <c r="T88" s="3">
        <f>R88-S88*MAX(IFERROR(G88-1,0),0)</f>
        <v/>
      </c>
      <c r="U88" t="n">
        <v>1.1</v>
      </c>
      <c r="V88" t="n">
        <v>11.3</v>
      </c>
      <c r="W88" t="n">
        <v>8.4</v>
      </c>
      <c r="X88" s="8">
        <f>(IF(E88="",2,IF(E88&lt;=400000,3,IF(E88&gt;=500000,1,2))))*0.1+(IF(OR(G88="",G88=0),2,IF((E88/G88)&lt;=200000,3,IF((E88/G88)&gt;=300000,1,2))))*0.1+(IF(F88="",2,IF(F88&lt;=200,3,IF(F88&gt;=400,1,2))))*0.1+(IF(T88="",2,IF(T88&lt;=2000,3,IF(T88&gt;=3000,1,2))))*0.2+(IF(V88="",2,IF(V88&lt;=15,3,IF(V88&gt;=30,1,2))))*0.15+(IF(W88="",2,IF(W88&lt;=15,3,IF(W88&gt;=25,1,2))))*0.1+(IF(U88="",2,IF(U88&lt;=5,3,IF(U88&gt;=15,1,2))))*0.1+(IF(J88="Yes",3,IF(J88="No",1,2)))*0.05+(IF(OR(K88="",UPPER(TRIM(K88))="UNKNOWN"),2,IF(OR(UPPER(TRIM(K88))="NONE",ISNUMBER(SEARCH("no parking",K88))),1,3)))*0.05+(IF(AND(ISNUMBER(I88),I88&gt;=900),3,IF(AND(ISNUMBER(G88),G88&gt;=2),3,IF(AND(ISNUMBER(I88),I88&gt;=700),2,IF(AND(ISNUMBER(I88),I88&lt;700),1,2)))))*0.05</f>
        <v/>
      </c>
      <c r="Y88">
        <f>IF(X88&gt;=2.3,"Green",IF(X88&gt;=1.7,"Yellow","Red"))</f>
        <v/>
      </c>
    </row>
    <row r="89">
      <c r="A89" s="9" t="inlineStr">
        <is>
          <t>549 Centre St #2, Newton, MA 02458</t>
        </is>
      </c>
      <c r="B89" t="inlineStr">
        <is>
          <t>Newton</t>
        </is>
      </c>
      <c r="C89" s="6" t="inlineStr">
        <is>
          <t>https://www.redfin.com/MA/Newton/549-Centre-St-02458/unit-2/home/11411108</t>
        </is>
      </c>
      <c r="D89" s="7" t="n"/>
      <c r="E89" s="3" t="n">
        <v>450000</v>
      </c>
      <c r="F89" s="3" t="n">
        <v>333</v>
      </c>
      <c r="G89" t="n">
        <v>1</v>
      </c>
      <c r="H89" t="n">
        <v>1</v>
      </c>
      <c r="I89" s="4" t="n">
        <v>522</v>
      </c>
      <c r="J89" t="inlineStr">
        <is>
          <t>No</t>
        </is>
      </c>
      <c r="K89" t="inlineStr">
        <is>
          <t>0 spaces</t>
        </is>
      </c>
      <c r="L89" s="3">
        <f>Assumptions!B3</f>
        <v/>
      </c>
      <c r="M89" s="3">
        <f>E89-L89</f>
        <v/>
      </c>
      <c r="N89" s="3">
        <f>-PMT(Assumptions!B2/12,Assumptions!B4*12,M89)</f>
        <v/>
      </c>
      <c r="O89" s="3">
        <f>E89*Assumptions!B5/12</f>
        <v/>
      </c>
      <c r="P89" s="3">
        <f>Assumptions!B6</f>
        <v/>
      </c>
      <c r="Q89" s="3">
        <f>Assumptions!B7+Assumptions!B8</f>
        <v/>
      </c>
      <c r="R89" s="3">
        <f>N89+F89+O89+P89+Q89</f>
        <v/>
      </c>
      <c r="S89" s="3" t="n">
        <v>0</v>
      </c>
      <c r="T89" s="3">
        <f>R89-S89*MAX(IFERROR(G89-1,0),0)</f>
        <v/>
      </c>
      <c r="U89" t="n">
        <v>5.8</v>
      </c>
      <c r="V89" t="n">
        <v>13.9</v>
      </c>
      <c r="W89" t="n">
        <v>14.5</v>
      </c>
      <c r="X89" s="8">
        <f>(IF(E89="",2,IF(E89&lt;=400000,3,IF(E89&gt;=500000,1,2))))*0.1+(IF(OR(G89="",G89=0),2,IF((E89/G89)&lt;=200000,3,IF((E89/G89)&gt;=300000,1,2))))*0.1+(IF(F89="",2,IF(F89&lt;=200,3,IF(F89&gt;=400,1,2))))*0.1+(IF(T89="",2,IF(T89&lt;=2000,3,IF(T89&gt;=3000,1,2))))*0.2+(IF(V89="",2,IF(V89&lt;=15,3,IF(V89&gt;=30,1,2))))*0.15+(IF(W89="",2,IF(W89&lt;=15,3,IF(W89&gt;=25,1,2))))*0.1+(IF(U89="",2,IF(U89&lt;=5,3,IF(U89&gt;=15,1,2))))*0.1+(IF(J89="Yes",3,IF(J89="No",1,2)))*0.05+(IF(OR(K89="",UPPER(TRIM(K89))="UNKNOWN"),2,IF(OR(UPPER(TRIM(K89))="NONE",ISNUMBER(SEARCH("no parking",K89))),1,3)))*0.05+(IF(AND(ISNUMBER(I89),I89&gt;=900),3,IF(AND(ISNUMBER(G89),G89&gt;=2),3,IF(AND(ISNUMBER(I89),I89&gt;=700),2,IF(AND(ISNUMBER(I89),I89&lt;700),1,2)))))*0.05</f>
        <v/>
      </c>
      <c r="Y89">
        <f>IF(X89&gt;=2.3,"Green",IF(X89&gt;=1.7,"Yellow","Red"))</f>
        <v/>
      </c>
    </row>
    <row r="90">
      <c r="A90" s="9" t="inlineStr">
        <is>
          <t>241 Hurley St #1, Cambridge, MA 02141</t>
        </is>
      </c>
      <c r="B90" t="inlineStr">
        <is>
          <t>Cambridge</t>
        </is>
      </c>
      <c r="C90" s="6" t="inlineStr">
        <is>
          <t>https://www.redfin.com/MA/Cambridge/241-Hurley-St-02141/unit-1/home/11603214</t>
        </is>
      </c>
      <c r="D90" s="7" t="n"/>
      <c r="E90" s="3" t="n">
        <v>515000</v>
      </c>
      <c r="F90" s="3" t="n">
        <v>350</v>
      </c>
      <c r="G90" t="n">
        <v>1</v>
      </c>
      <c r="H90" t="n">
        <v>1</v>
      </c>
      <c r="I90" s="4" t="n">
        <v>403</v>
      </c>
      <c r="J90" t="inlineStr">
        <is>
          <t>No</t>
        </is>
      </c>
      <c r="K90" t="inlineStr">
        <is>
          <t>0 spaces</t>
        </is>
      </c>
      <c r="L90" s="3">
        <f>Assumptions!B3</f>
        <v/>
      </c>
      <c r="M90" s="3">
        <f>E90-L90</f>
        <v/>
      </c>
      <c r="N90" s="3">
        <f>-PMT(Assumptions!B2/12,Assumptions!B4*12,M90)</f>
        <v/>
      </c>
      <c r="O90" s="3">
        <f>E90*Assumptions!B5/12</f>
        <v/>
      </c>
      <c r="P90" s="3">
        <f>Assumptions!B6</f>
        <v/>
      </c>
      <c r="Q90" s="3">
        <f>Assumptions!B7+Assumptions!B8</f>
        <v/>
      </c>
      <c r="R90" s="3">
        <f>N90+F90+O90+P90+Q90</f>
        <v/>
      </c>
      <c r="S90" s="3" t="n">
        <v>0</v>
      </c>
      <c r="T90" s="3">
        <f>R90-S90*MAX(IFERROR(G90-1,0),0)</f>
        <v/>
      </c>
      <c r="U90" t="n">
        <v>1.6</v>
      </c>
      <c r="V90" t="n">
        <v>8</v>
      </c>
      <c r="W90" t="n">
        <v>2.1</v>
      </c>
      <c r="X90" s="8">
        <f>(IF(E90="",2,IF(E90&lt;=400000,3,IF(E90&gt;=500000,1,2))))*0.1+(IF(OR(G90="",G90=0),2,IF((E90/G90)&lt;=200000,3,IF((E90/G90)&gt;=300000,1,2))))*0.1+(IF(F90="",2,IF(F90&lt;=200,3,IF(F90&gt;=400,1,2))))*0.1+(IF(T90="",2,IF(T90&lt;=2000,3,IF(T90&gt;=3000,1,2))))*0.2+(IF(V90="",2,IF(V90&lt;=15,3,IF(V90&gt;=30,1,2))))*0.15+(IF(W90="",2,IF(W90&lt;=15,3,IF(W90&gt;=25,1,2))))*0.1+(IF(U90="",2,IF(U90&lt;=5,3,IF(U90&gt;=15,1,2))))*0.1+(IF(J90="Yes",3,IF(J90="No",1,2)))*0.05+(IF(OR(K90="",UPPER(TRIM(K90))="UNKNOWN"),2,IF(OR(UPPER(TRIM(K90))="NONE",ISNUMBER(SEARCH("no parking",K90))),1,3)))*0.05+(IF(AND(ISNUMBER(I90),I90&gt;=900),3,IF(AND(ISNUMBER(G90),G90&gt;=2),3,IF(AND(ISNUMBER(I90),I90&gt;=700),2,IF(AND(ISNUMBER(I90),I90&lt;700),1,2)))))*0.05</f>
        <v/>
      </c>
      <c r="Y90">
        <f>IF(X90&gt;=2.3,"Green",IF(X90&gt;=1.7,"Yellow","Red"))</f>
        <v/>
      </c>
    </row>
    <row r="91">
      <c r="A91" s="9" t="inlineStr">
        <is>
          <t>86 East Howard St #107, Quincy, MA 02169</t>
        </is>
      </c>
      <c r="B91" t="inlineStr">
        <is>
          <t>Quincy</t>
        </is>
      </c>
      <c r="C91" s="6" t="inlineStr">
        <is>
          <t>https://www.redfin.com/MA/Quincy/86-E-Howard-St-02169/unit-107/home/9036654</t>
        </is>
      </c>
      <c r="D91" s="7" t="inlineStr">
        <is>
          <t>2026-04-09</t>
        </is>
      </c>
      <c r="E91" s="3" t="n">
        <v>450000</v>
      </c>
      <c r="F91" s="3" t="n">
        <v>416</v>
      </c>
      <c r="G91" t="n">
        <v>2</v>
      </c>
      <c r="H91" t="n">
        <v>1</v>
      </c>
      <c r="I91" s="4" t="n">
        <v>1029</v>
      </c>
      <c r="J91" t="inlineStr">
        <is>
          <t>No</t>
        </is>
      </c>
      <c r="K91" t="inlineStr">
        <is>
          <t>2 spaces</t>
        </is>
      </c>
      <c r="L91" s="3">
        <f>Assumptions!B3</f>
        <v/>
      </c>
      <c r="M91" s="3">
        <f>E91-L91</f>
        <v/>
      </c>
      <c r="N91" s="3">
        <f>-PMT(Assumptions!B2/12,Assumptions!B4*12,M91)</f>
        <v/>
      </c>
      <c r="O91" s="3">
        <f>E91*Assumptions!B5/12</f>
        <v/>
      </c>
      <c r="P91" s="3">
        <f>Assumptions!B6</f>
        <v/>
      </c>
      <c r="Q91" s="3">
        <f>Assumptions!B7+Assumptions!B8</f>
        <v/>
      </c>
      <c r="R91" s="3">
        <f>N91+F91+O91+P91+Q91</f>
        <v/>
      </c>
      <c r="S91" s="3" t="n">
        <v>1170</v>
      </c>
      <c r="T91" s="3">
        <f>R91-S91*MAX(IFERROR(G91-1,0),0)</f>
        <v/>
      </c>
      <c r="U91" t="n">
        <v>6.8</v>
      </c>
      <c r="V91" t="n">
        <v>21.4</v>
      </c>
      <c r="W91" t="n">
        <v>25.5</v>
      </c>
      <c r="X91" s="8">
        <f>(IF(E91="",2,IF(E91&lt;=400000,3,IF(E91&gt;=500000,1,2))))*0.1+(IF(OR(G91="",G91=0),2,IF((E91/G91)&lt;=200000,3,IF((E91/G91)&gt;=300000,1,2))))*0.1+(IF(F91="",2,IF(F91&lt;=200,3,IF(F91&gt;=400,1,2))))*0.1+(IF(T91="",2,IF(T91&lt;=2000,3,IF(T91&gt;=3000,1,2))))*0.2+(IF(V91="",2,IF(V91&lt;=15,3,IF(V91&gt;=30,1,2))))*0.15+(IF(W91="",2,IF(W91&lt;=15,3,IF(W91&gt;=25,1,2))))*0.1+(IF(U91="",2,IF(U91&lt;=5,3,IF(U91&gt;=15,1,2))))*0.1+(IF(J91="Yes",3,IF(J91="No",1,2)))*0.05+(IF(OR(K91="",UPPER(TRIM(K91))="UNKNOWN"),2,IF(OR(UPPER(TRIM(K91))="NONE",ISNUMBER(SEARCH("no parking",K91))),1,3)))*0.05+(IF(AND(ISNUMBER(I91),I91&gt;=900),3,IF(AND(ISNUMBER(G91),G91&gt;=2),3,IF(AND(ISNUMBER(I91),I91&gt;=700),2,IF(AND(ISNUMBER(I91),I91&lt;700),1,2)))))*0.05</f>
        <v/>
      </c>
      <c r="Y91">
        <f>IF(X91&gt;=2.3,"Green",IF(X91&gt;=1.7,"Yellow","Red"))</f>
        <v/>
      </c>
    </row>
    <row r="92">
      <c r="A92" s="9" t="inlineStr">
        <is>
          <t>75 Park St #8, Brookline, MA 02446</t>
        </is>
      </c>
      <c r="B92" t="inlineStr">
        <is>
          <t>Brookline</t>
        </is>
      </c>
      <c r="C92" s="6" t="inlineStr">
        <is>
          <t>https://www.redfin.com/MA/Brookline/75-Park-St-02446/unit-8/home/11467606</t>
        </is>
      </c>
      <c r="D92" s="7" t="inlineStr">
        <is>
          <t>2026-04-09</t>
        </is>
      </c>
      <c r="E92" s="3" t="n">
        <v>400000</v>
      </c>
      <c r="F92" s="3" t="n">
        <v>288</v>
      </c>
      <c r="G92" t="n">
        <v>0</v>
      </c>
      <c r="H92" t="n">
        <v>1</v>
      </c>
      <c r="I92" s="4" t="n">
        <v>395</v>
      </c>
      <c r="J92" t="inlineStr">
        <is>
          <t>No</t>
        </is>
      </c>
      <c r="K92" t="inlineStr">
        <is>
          <t>0 spaces</t>
        </is>
      </c>
      <c r="L92" s="3">
        <f>Assumptions!B3</f>
        <v/>
      </c>
      <c r="M92" s="3">
        <f>E92-L92</f>
        <v/>
      </c>
      <c r="N92" s="3">
        <f>-PMT(Assumptions!B2/12,Assumptions!B4*12,M92)</f>
        <v/>
      </c>
      <c r="O92" s="3">
        <f>E92*Assumptions!B5/12</f>
        <v/>
      </c>
      <c r="P92" s="3">
        <f>Assumptions!B6</f>
        <v/>
      </c>
      <c r="Q92" s="3">
        <f>Assumptions!B7+Assumptions!B8</f>
        <v/>
      </c>
      <c r="R92" s="3">
        <f>N92+F92+O92+P92+Q92</f>
        <v/>
      </c>
      <c r="S92" s="3" t="n">
        <v>0</v>
      </c>
      <c r="T92" s="3">
        <f>R92-S92*MAX(IFERROR(G92-1,0),0)</f>
        <v/>
      </c>
      <c r="X92" s="8">
        <f>(IF(E92="",2,IF(E92&lt;=400000,3,IF(E92&gt;=500000,1,2))))*0.1+(IF(OR(G92="",G92=0),2,IF((E92/G92)&lt;=200000,3,IF((E92/G92)&gt;=300000,1,2))))*0.1+(IF(F92="",2,IF(F92&lt;=200,3,IF(F92&gt;=400,1,2))))*0.1+(IF(T92="",2,IF(T92&lt;=2000,3,IF(T92&gt;=3000,1,2))))*0.2+(IF(V92="",2,IF(V92&lt;=15,3,IF(V92&gt;=30,1,2))))*0.15+(IF(W92="",2,IF(W92&lt;=15,3,IF(W92&gt;=25,1,2))))*0.1+(IF(U92="",2,IF(U92&lt;=5,3,IF(U92&gt;=15,1,2))))*0.1+(IF(J92="Yes",3,IF(J92="No",1,2)))*0.05+(IF(OR(K92="",UPPER(TRIM(K92))="UNKNOWN"),2,IF(OR(UPPER(TRIM(K92))="NONE",ISNUMBER(SEARCH("no parking",K92))),1,3)))*0.05+(IF(AND(ISNUMBER(I92),I92&gt;=900),3,IF(AND(ISNUMBER(G92),G92&gt;=2),3,IF(AND(ISNUMBER(I92),I92&gt;=700),2,IF(AND(ISNUMBER(I92),I92&lt;700),1,2)))))*0.05</f>
        <v/>
      </c>
      <c r="Y92">
        <f>IF(X92&gt;=2.3,"Green",IF(X92&gt;=1.7,"Yellow","Red"))</f>
        <v/>
      </c>
    </row>
    <row r="93">
      <c r="A93" s="9" t="inlineStr">
        <is>
          <t>131 Park Dr #2, Boston, MA 02215</t>
        </is>
      </c>
      <c r="B93" t="inlineStr">
        <is>
          <t>Brookline</t>
        </is>
      </c>
      <c r="C93" s="6" t="inlineStr">
        <is>
          <t>https://www.redfin.com/MA/Boston/131-Park-Dr-02215/unit-2/home/9241298</t>
        </is>
      </c>
      <c r="D93" s="7" t="inlineStr">
        <is>
          <t>2026-04-13</t>
        </is>
      </c>
      <c r="E93" s="3" t="n">
        <v>499000</v>
      </c>
      <c r="F93" s="3" t="n">
        <v>0</v>
      </c>
      <c r="G93" t="n">
        <v>0</v>
      </c>
      <c r="H93" t="n">
        <v>1</v>
      </c>
      <c r="I93" s="4" t="n">
        <v>350</v>
      </c>
      <c r="J93" t="inlineStr">
        <is>
          <t>No</t>
        </is>
      </c>
      <c r="K93" t="inlineStr">
        <is>
          <t>Unknown</t>
        </is>
      </c>
      <c r="L93" s="3">
        <f>Assumptions!B3</f>
        <v/>
      </c>
      <c r="M93" s="3">
        <f>E93-L93</f>
        <v/>
      </c>
      <c r="N93" s="3">
        <f>-PMT(Assumptions!B2/12,Assumptions!B4*12,M93)</f>
        <v/>
      </c>
      <c r="O93" s="3">
        <f>E93*Assumptions!B5/12</f>
        <v/>
      </c>
      <c r="P93" s="3">
        <f>Assumptions!B6</f>
        <v/>
      </c>
      <c r="Q93" s="3">
        <f>Assumptions!B7+Assumptions!B8</f>
        <v/>
      </c>
      <c r="R93" s="3">
        <f>N93+F93+O93+P93+Q93</f>
        <v/>
      </c>
      <c r="S93" s="3" t="n">
        <v>0</v>
      </c>
      <c r="T93" s="3">
        <f>R93-S93*MAX(IFERROR(G93-1,0),0)</f>
        <v/>
      </c>
      <c r="X93" s="8">
        <f>(IF(E93="",2,IF(E93&lt;=400000,3,IF(E93&gt;=500000,1,2))))*0.1+(IF(OR(G93="",G93=0),2,IF((E93/G93)&lt;=200000,3,IF((E93/G93)&gt;=300000,1,2))))*0.1+(IF(F93="",2,IF(F93&lt;=200,3,IF(F93&gt;=400,1,2))))*0.1+(IF(T93="",2,IF(T93&lt;=2000,3,IF(T93&gt;=3000,1,2))))*0.2+(IF(V93="",2,IF(V93&lt;=15,3,IF(V93&gt;=30,1,2))))*0.15+(IF(W93="",2,IF(W93&lt;=15,3,IF(W93&gt;=25,1,2))))*0.1+(IF(U93="",2,IF(U93&lt;=5,3,IF(U93&gt;=15,1,2))))*0.1+(IF(J93="Yes",3,IF(J93="No",1,2)))*0.05+(IF(OR(K93="",UPPER(TRIM(K93))="UNKNOWN"),2,IF(OR(UPPER(TRIM(K93))="NONE",ISNUMBER(SEARCH("no parking",K93))),1,3)))*0.05+(IF(AND(ISNUMBER(I93),I93&gt;=900),3,IF(AND(ISNUMBER(G93),G93&gt;=2),3,IF(AND(ISNUMBER(I93),I93&gt;=700),2,IF(AND(ISNUMBER(I93),I93&lt;700),1,2)))))*0.05</f>
        <v/>
      </c>
      <c r="Y93">
        <f>IF(X93&gt;=2.3,"Green",IF(X93&gt;=1.7,"Yellow","Red"))</f>
        <v/>
      </c>
    </row>
    <row r="94">
      <c r="A94" s="9" t="inlineStr">
        <is>
          <t>148 Presidents Ln #1, Quincy, MA 02169</t>
        </is>
      </c>
      <c r="B94" t="inlineStr">
        <is>
          <t>Quincy</t>
        </is>
      </c>
      <c r="C94" s="6" t="inlineStr">
        <is>
          <t>https://www.redfin.com/MA/Quincy/148-Presidents-Ln-02169/unit-1/home/11718802</t>
        </is>
      </c>
      <c r="D94" s="7" t="inlineStr">
        <is>
          <t>2026-05-07</t>
        </is>
      </c>
      <c r="E94" s="3" t="n">
        <v>519000</v>
      </c>
      <c r="F94" s="3" t="n">
        <v>384</v>
      </c>
      <c r="G94" t="n">
        <v>2</v>
      </c>
      <c r="H94" t="n">
        <v>2</v>
      </c>
      <c r="I94" s="4" t="n">
        <v>1273</v>
      </c>
      <c r="J94" t="inlineStr">
        <is>
          <t>No</t>
        </is>
      </c>
      <c r="K94" t="inlineStr">
        <is>
          <t>1 space</t>
        </is>
      </c>
      <c r="L94" s="3">
        <f>Assumptions!B3</f>
        <v/>
      </c>
      <c r="M94" s="3">
        <f>E94-L94</f>
        <v/>
      </c>
      <c r="N94" s="3">
        <f>-PMT(Assumptions!B2/12,Assumptions!B4*12,M94)</f>
        <v/>
      </c>
      <c r="O94" s="3">
        <f>E94*Assumptions!B5/12</f>
        <v/>
      </c>
      <c r="P94" s="3">
        <f>Assumptions!B6</f>
        <v/>
      </c>
      <c r="Q94" s="3">
        <f>Assumptions!B7+Assumptions!B8</f>
        <v/>
      </c>
      <c r="R94" s="3">
        <f>N94+F94+O94+P94+Q94</f>
        <v/>
      </c>
      <c r="S94" s="3" t="n">
        <v>1170</v>
      </c>
      <c r="T94" s="3">
        <f>R94-S94*MAX(IFERROR(G94-1,0),0)</f>
        <v/>
      </c>
      <c r="U94" t="n">
        <v>1.7</v>
      </c>
      <c r="V94" t="n">
        <v>17.2</v>
      </c>
      <c r="W94" t="n">
        <v>21.2</v>
      </c>
      <c r="X94" s="8">
        <f>(IF(E94="",2,IF(E94&lt;=400000,3,IF(E94&gt;=500000,1,2))))*0.1+(IF(OR(G94="",G94=0),2,IF((E94/G94)&lt;=200000,3,IF((E94/G94)&gt;=300000,1,2))))*0.1+(IF(F94="",2,IF(F94&lt;=200,3,IF(F94&gt;=400,1,2))))*0.1+(IF(T94="",2,IF(T94&lt;=2000,3,IF(T94&gt;=3000,1,2))))*0.2+(IF(V94="",2,IF(V94&lt;=15,3,IF(V94&gt;=30,1,2))))*0.15+(IF(W94="",2,IF(W94&lt;=15,3,IF(W94&gt;=25,1,2))))*0.1+(IF(U94="",2,IF(U94&lt;=5,3,IF(U94&gt;=15,1,2))))*0.1+(IF(J94="Yes",3,IF(J94="No",1,2)))*0.05+(IF(OR(K94="",UPPER(TRIM(K94))="UNKNOWN"),2,IF(OR(UPPER(TRIM(K94))="NONE",ISNUMBER(SEARCH("no parking",K94))),1,3)))*0.05+(IF(AND(ISNUMBER(I94),I94&gt;=900),3,IF(AND(ISNUMBER(G94),G94&gt;=2),3,IF(AND(ISNUMBER(I94),I94&gt;=700),2,IF(AND(ISNUMBER(I94),I94&lt;700),1,2)))))*0.05</f>
        <v/>
      </c>
      <c r="Y94">
        <f>IF(X94&gt;=2.3,"Green",IF(X94&gt;=1.7,"Yellow","Red"))</f>
        <v/>
      </c>
    </row>
    <row r="95">
      <c r="A95" s="9" t="inlineStr">
        <is>
          <t>200 Falls Blvd Unit B208, Quincy, MA 02169</t>
        </is>
      </c>
      <c r="B95" t="inlineStr">
        <is>
          <t>Quincy</t>
        </is>
      </c>
      <c r="C95" s="6" t="inlineStr">
        <is>
          <t>https://www.redfin.com/MA/Quincy/200-Falls-Blvd-02169/unit-B208/home/8950044</t>
        </is>
      </c>
      <c r="D95" s="7" t="inlineStr">
        <is>
          <t>2026-04-23</t>
        </is>
      </c>
      <c r="E95" s="3" t="n">
        <v>429000</v>
      </c>
      <c r="F95" s="3" t="n">
        <v>494</v>
      </c>
      <c r="G95" t="n">
        <v>2</v>
      </c>
      <c r="H95" t="n">
        <v>2</v>
      </c>
      <c r="I95" s="4" t="n">
        <v>806</v>
      </c>
      <c r="J95" t="inlineStr">
        <is>
          <t>No</t>
        </is>
      </c>
      <c r="K95" t="inlineStr">
        <is>
          <t>1 space</t>
        </is>
      </c>
      <c r="L95" s="3">
        <f>Assumptions!B3</f>
        <v/>
      </c>
      <c r="M95" s="3">
        <f>E95-L95</f>
        <v/>
      </c>
      <c r="N95" s="3">
        <f>-PMT(Assumptions!B2/12,Assumptions!B4*12,M95)</f>
        <v/>
      </c>
      <c r="O95" s="3">
        <f>E95*Assumptions!B5/12</f>
        <v/>
      </c>
      <c r="P95" s="3">
        <f>Assumptions!B6</f>
        <v/>
      </c>
      <c r="Q95" s="3">
        <f>Assumptions!B7+Assumptions!B8</f>
        <v/>
      </c>
      <c r="R95" s="3">
        <f>N95+F95+O95+P95+Q95</f>
        <v/>
      </c>
      <c r="S95" s="3" t="n">
        <v>1170</v>
      </c>
      <c r="T95" s="3">
        <f>R95-S95*MAX(IFERROR(G95-1,0),0)</f>
        <v/>
      </c>
      <c r="U95" t="n">
        <v>7.2</v>
      </c>
      <c r="V95" t="n">
        <v>21.8</v>
      </c>
      <c r="W95" t="n">
        <v>25.9</v>
      </c>
      <c r="X95" s="8">
        <f>(IF(E95="",2,IF(E95&lt;=400000,3,IF(E95&gt;=500000,1,2))))*0.1+(IF(OR(G95="",G95=0),2,IF((E95/G95)&lt;=200000,3,IF((E95/G95)&gt;=300000,1,2))))*0.1+(IF(F95="",2,IF(F95&lt;=200,3,IF(F95&gt;=400,1,2))))*0.1+(IF(T95="",2,IF(T95&lt;=2000,3,IF(T95&gt;=3000,1,2))))*0.2+(IF(V95="",2,IF(V95&lt;=15,3,IF(V95&gt;=30,1,2))))*0.15+(IF(W95="",2,IF(W95&lt;=15,3,IF(W95&gt;=25,1,2))))*0.1+(IF(U95="",2,IF(U95&lt;=5,3,IF(U95&gt;=15,1,2))))*0.1+(IF(J95="Yes",3,IF(J95="No",1,2)))*0.05+(IF(OR(K95="",UPPER(TRIM(K95))="UNKNOWN"),2,IF(OR(UPPER(TRIM(K95))="NONE",ISNUMBER(SEARCH("no parking",K95))),1,3)))*0.05+(IF(AND(ISNUMBER(I95),I95&gt;=900),3,IF(AND(ISNUMBER(G95),G95&gt;=2),3,IF(AND(ISNUMBER(I95),I95&gt;=700),2,IF(AND(ISNUMBER(I95),I95&lt;700),1,2)))))*0.05</f>
        <v/>
      </c>
      <c r="Y95">
        <f>IF(X95&gt;=2.3,"Green",IF(X95&gt;=1.7,"Yellow","Red"))</f>
        <v/>
      </c>
    </row>
    <row r="96">
      <c r="A96" s="9" t="inlineStr">
        <is>
          <t>10 Washington Ave #1, Waltham, MA 02453</t>
        </is>
      </c>
      <c r="B96" t="inlineStr">
        <is>
          <t>Waltham</t>
        </is>
      </c>
      <c r="C96" s="6" t="inlineStr">
        <is>
          <t>https://www.redfin.com/MA/Waltham/10-Washington-Ave-02453/unit-1/home/77521940</t>
        </is>
      </c>
      <c r="D96" s="7" t="inlineStr">
        <is>
          <t>2026-05-12</t>
        </is>
      </c>
      <c r="E96" s="3" t="n">
        <v>550000</v>
      </c>
      <c r="F96" s="3" t="n">
        <v>200</v>
      </c>
      <c r="G96" t="n">
        <v>2</v>
      </c>
      <c r="H96" t="n">
        <v>1</v>
      </c>
      <c r="I96" s="4" t="n">
        <v>934</v>
      </c>
      <c r="J96" t="inlineStr">
        <is>
          <t>No</t>
        </is>
      </c>
      <c r="K96" t="inlineStr">
        <is>
          <t>1 space</t>
        </is>
      </c>
      <c r="L96" s="3">
        <f>Assumptions!B3</f>
        <v/>
      </c>
      <c r="M96" s="3">
        <f>E96-L96</f>
        <v/>
      </c>
      <c r="N96" s="3">
        <f>-PMT(Assumptions!B2/12,Assumptions!B4*12,M96)</f>
        <v/>
      </c>
      <c r="O96" s="3">
        <f>E96*Assumptions!B5/12</f>
        <v/>
      </c>
      <c r="P96" s="3">
        <f>Assumptions!B6</f>
        <v/>
      </c>
      <c r="Q96" s="3">
        <f>Assumptions!B7+Assumptions!B8</f>
        <v/>
      </c>
      <c r="R96" s="3">
        <f>N96+F96+O96+P96+Q96</f>
        <v/>
      </c>
      <c r="S96" s="3" t="n">
        <v>1235</v>
      </c>
      <c r="T96" s="3">
        <f>R96-S96*MAX(IFERROR(G96-1,0),0)</f>
        <v/>
      </c>
      <c r="U96" t="n">
        <v>6</v>
      </c>
      <c r="V96" t="n">
        <v>19.5</v>
      </c>
      <c r="W96" t="n">
        <v>20</v>
      </c>
      <c r="X96" s="8">
        <f>(IF(E96="",2,IF(E96&lt;=400000,3,IF(E96&gt;=500000,1,2))))*0.1+(IF(OR(G96="",G96=0),2,IF((E96/G96)&lt;=200000,3,IF((E96/G96)&gt;=300000,1,2))))*0.1+(IF(F96="",2,IF(F96&lt;=200,3,IF(F96&gt;=400,1,2))))*0.1+(IF(T96="",2,IF(T96&lt;=2000,3,IF(T96&gt;=3000,1,2))))*0.2+(IF(V96="",2,IF(V96&lt;=15,3,IF(V96&gt;=30,1,2))))*0.15+(IF(W96="",2,IF(W96&lt;=15,3,IF(W96&gt;=25,1,2))))*0.1+(IF(U96="",2,IF(U96&lt;=5,3,IF(U96&gt;=15,1,2))))*0.1+(IF(J96="Yes",3,IF(J96="No",1,2)))*0.05+(IF(OR(K96="",UPPER(TRIM(K96))="UNKNOWN"),2,IF(OR(UPPER(TRIM(K96))="NONE",ISNUMBER(SEARCH("no parking",K96))),1,3)))*0.05+(IF(AND(ISNUMBER(I96),I96&gt;=900),3,IF(AND(ISNUMBER(G96),G96&gt;=2),3,IF(AND(ISNUMBER(I96),I96&gt;=700),2,IF(AND(ISNUMBER(I96),I96&lt;700),1,2)))))*0.05</f>
        <v/>
      </c>
      <c r="Y96">
        <f>IF(X96&gt;=2.3,"Green",IF(X96&gt;=1.7,"Yellow","Red"))</f>
        <v/>
      </c>
    </row>
    <row r="97">
      <c r="A97" s="9" t="inlineStr">
        <is>
          <t>557 Salem #4, Malden, MA 02148</t>
        </is>
      </c>
      <c r="B97" t="inlineStr">
        <is>
          <t>Malden</t>
        </is>
      </c>
      <c r="C97" s="6" t="inlineStr">
        <is>
          <t>https://www.redfin.com/MA/Malden/557-Salem-St-02148/unit-4/home/11428538</t>
        </is>
      </c>
      <c r="D97" s="7" t="inlineStr">
        <is>
          <t>2026-03-11</t>
        </is>
      </c>
      <c r="E97" s="3" t="n">
        <v>499900</v>
      </c>
      <c r="F97" s="3" t="n">
        <v>300</v>
      </c>
      <c r="G97" t="n">
        <v>2</v>
      </c>
      <c r="H97" t="n">
        <v>1</v>
      </c>
      <c r="I97" s="4" t="n">
        <v>879</v>
      </c>
      <c r="J97" t="inlineStr">
        <is>
          <t>No</t>
        </is>
      </c>
      <c r="K97" t="inlineStr">
        <is>
          <t>1 space</t>
        </is>
      </c>
      <c r="L97" s="3">
        <f>Assumptions!B3</f>
        <v/>
      </c>
      <c r="M97" s="3">
        <f>E97-L97</f>
        <v/>
      </c>
      <c r="N97" s="3">
        <f>-PMT(Assumptions!B2/12,Assumptions!B4*12,M97)</f>
        <v/>
      </c>
      <c r="O97" s="3">
        <f>E97*Assumptions!B5/12</f>
        <v/>
      </c>
      <c r="P97" s="3">
        <f>Assumptions!B6</f>
        <v/>
      </c>
      <c r="Q97" s="3">
        <f>Assumptions!B7+Assumptions!B8</f>
        <v/>
      </c>
      <c r="R97" s="3">
        <f>N97+F97+O97+P97+Q97</f>
        <v/>
      </c>
      <c r="S97" s="3" t="n">
        <v>1202</v>
      </c>
      <c r="T97" s="3">
        <f>R97-S97*MAX(IFERROR(G97-1,0),0)</f>
        <v/>
      </c>
      <c r="X97" s="8">
        <f>(IF(E97="",2,IF(E97&lt;=400000,3,IF(E97&gt;=500000,1,2))))*0.1+(IF(OR(G97="",G97=0),2,IF((E97/G97)&lt;=200000,3,IF((E97/G97)&gt;=300000,1,2))))*0.1+(IF(F97="",2,IF(F97&lt;=200,3,IF(F97&gt;=400,1,2))))*0.1+(IF(T97="",2,IF(T97&lt;=2000,3,IF(T97&gt;=3000,1,2))))*0.2+(IF(V97="",2,IF(V97&lt;=15,3,IF(V97&gt;=30,1,2))))*0.15+(IF(W97="",2,IF(W97&lt;=15,3,IF(W97&gt;=25,1,2))))*0.1+(IF(U97="",2,IF(U97&lt;=5,3,IF(U97&gt;=15,1,2))))*0.1+(IF(J97="Yes",3,IF(J97="No",1,2)))*0.05+(IF(OR(K97="",UPPER(TRIM(K97))="UNKNOWN"),2,IF(OR(UPPER(TRIM(K97))="NONE",ISNUMBER(SEARCH("no parking",K97))),1,3)))*0.05+(IF(AND(ISNUMBER(I97),I97&gt;=900),3,IF(AND(ISNUMBER(G97),G97&gt;=2),3,IF(AND(ISNUMBER(I97),I97&gt;=700),2,IF(AND(ISNUMBER(I97),I97&lt;700),1,2)))))*0.05</f>
        <v/>
      </c>
      <c r="Y97">
        <f>IF(X97&gt;=2.3,"Green",IF(X97&gt;=1.7,"Yellow","Red"))</f>
        <v/>
      </c>
    </row>
    <row r="98">
      <c r="A98" s="9" t="inlineStr">
        <is>
          <t>20 Whitney Unit U:1, Quincy, MA 02169</t>
        </is>
      </c>
      <c r="B98" t="inlineStr">
        <is>
          <t>Quincy</t>
        </is>
      </c>
      <c r="C98" s="6" t="inlineStr">
        <is>
          <t>https://www.redfin.com/MA/Quincy/20-Whitney-Rd-02169/unit-U-1/home/200248173</t>
        </is>
      </c>
      <c r="D98" s="7" t="n"/>
      <c r="E98" s="3" t="n">
        <v>499000</v>
      </c>
      <c r="F98" s="3" t="n">
        <v>200</v>
      </c>
      <c r="G98" t="n">
        <v>1</v>
      </c>
      <c r="H98" t="n">
        <v>1</v>
      </c>
      <c r="I98" s="4" t="n">
        <v>638</v>
      </c>
      <c r="J98" t="inlineStr">
        <is>
          <t>No</t>
        </is>
      </c>
      <c r="K98" t="inlineStr">
        <is>
          <t>1 space</t>
        </is>
      </c>
      <c r="L98" s="3">
        <f>Assumptions!B3</f>
        <v/>
      </c>
      <c r="M98" s="3">
        <f>E98-L98</f>
        <v/>
      </c>
      <c r="N98" s="3">
        <f>-PMT(Assumptions!B2/12,Assumptions!B4*12,M98)</f>
        <v/>
      </c>
      <c r="O98" s="3">
        <f>E98*Assumptions!B5/12</f>
        <v/>
      </c>
      <c r="P98" s="3">
        <f>Assumptions!B6</f>
        <v/>
      </c>
      <c r="Q98" s="3">
        <f>Assumptions!B7+Assumptions!B8</f>
        <v/>
      </c>
      <c r="R98" s="3">
        <f>N98+F98+O98+P98+Q98</f>
        <v/>
      </c>
      <c r="S98" s="3" t="n">
        <v>0</v>
      </c>
      <c r="T98" s="3">
        <f>R98-S98*MAX(IFERROR(G98-1,0),0)</f>
        <v/>
      </c>
      <c r="U98" t="n">
        <v>1.4</v>
      </c>
      <c r="V98" t="n">
        <v>17.1</v>
      </c>
      <c r="W98" t="n">
        <v>21.2</v>
      </c>
      <c r="X98" s="8">
        <f>(IF(E98="",2,IF(E98&lt;=400000,3,IF(E98&gt;=500000,1,2))))*0.1+(IF(OR(G98="",G98=0),2,IF((E98/G98)&lt;=200000,3,IF((E98/G98)&gt;=300000,1,2))))*0.1+(IF(F98="",2,IF(F98&lt;=200,3,IF(F98&gt;=400,1,2))))*0.1+(IF(T98="",2,IF(T98&lt;=2000,3,IF(T98&gt;=3000,1,2))))*0.2+(IF(V98="",2,IF(V98&lt;=15,3,IF(V98&gt;=30,1,2))))*0.15+(IF(W98="",2,IF(W98&lt;=15,3,IF(W98&gt;=25,1,2))))*0.1+(IF(U98="",2,IF(U98&lt;=5,3,IF(U98&gt;=15,1,2))))*0.1+(IF(J98="Yes",3,IF(J98="No",1,2)))*0.05+(IF(OR(K98="",UPPER(TRIM(K98))="UNKNOWN"),2,IF(OR(UPPER(TRIM(K98))="NONE",ISNUMBER(SEARCH("no parking",K98))),1,3)))*0.05+(IF(AND(ISNUMBER(I98),I98&gt;=900),3,IF(AND(ISNUMBER(G98),G98&gt;=2),3,IF(AND(ISNUMBER(I98),I98&gt;=700),2,IF(AND(ISNUMBER(I98),I98&lt;700),1,2)))))*0.05</f>
        <v/>
      </c>
      <c r="Y98">
        <f>IF(X98&gt;=2.3,"Green",IF(X98&gt;=1.7,"Yellow","Red"))</f>
        <v/>
      </c>
    </row>
    <row r="99">
      <c r="A99" s="9" t="inlineStr">
        <is>
          <t>20 Whitney Rd #101, Quincy, MA 02169</t>
        </is>
      </c>
      <c r="B99" t="inlineStr">
        <is>
          <t>Quincy</t>
        </is>
      </c>
      <c r="C99" s="6" t="inlineStr">
        <is>
          <t>https://www.redfin.com/MA/Quincy/20-Whitney-Rd-02169/unit-101/home/196906729</t>
        </is>
      </c>
      <c r="D99" s="7" t="n"/>
      <c r="E99" s="3" t="n">
        <v>499000</v>
      </c>
      <c r="F99" s="3" t="n">
        <v>0</v>
      </c>
      <c r="G99" t="n">
        <v>1</v>
      </c>
      <c r="H99" t="n">
        <v>1</v>
      </c>
      <c r="I99" s="4" t="n">
        <v>575</v>
      </c>
      <c r="J99" t="inlineStr">
        <is>
          <t>No</t>
        </is>
      </c>
      <c r="K99" t="inlineStr">
        <is>
          <t>Unknown</t>
        </is>
      </c>
      <c r="L99" s="3">
        <f>Assumptions!B3</f>
        <v/>
      </c>
      <c r="M99" s="3">
        <f>E99-L99</f>
        <v/>
      </c>
      <c r="N99" s="3">
        <f>-PMT(Assumptions!B2/12,Assumptions!B4*12,M99)</f>
        <v/>
      </c>
      <c r="O99" s="3">
        <f>E99*Assumptions!B5/12</f>
        <v/>
      </c>
      <c r="P99" s="3">
        <f>Assumptions!B6</f>
        <v/>
      </c>
      <c r="Q99" s="3">
        <f>Assumptions!B7+Assumptions!B8</f>
        <v/>
      </c>
      <c r="R99" s="3">
        <f>N99+F99+O99+P99+Q99</f>
        <v/>
      </c>
      <c r="S99" s="3" t="n">
        <v>0</v>
      </c>
      <c r="T99" s="3">
        <f>R99-S99*MAX(IFERROR(G99-1,0),0)</f>
        <v/>
      </c>
      <c r="U99" t="n">
        <v>1.4</v>
      </c>
      <c r="V99" t="n">
        <v>17.1</v>
      </c>
      <c r="W99" t="n">
        <v>21.2</v>
      </c>
      <c r="X99" s="8">
        <f>(IF(E99="",2,IF(E99&lt;=400000,3,IF(E99&gt;=500000,1,2))))*0.1+(IF(OR(G99="",G99=0),2,IF((E99/G99)&lt;=200000,3,IF((E99/G99)&gt;=300000,1,2))))*0.1+(IF(F99="",2,IF(F99&lt;=200,3,IF(F99&gt;=400,1,2))))*0.1+(IF(T99="",2,IF(T99&lt;=2000,3,IF(T99&gt;=3000,1,2))))*0.2+(IF(V99="",2,IF(V99&lt;=15,3,IF(V99&gt;=30,1,2))))*0.15+(IF(W99="",2,IF(W99&lt;=15,3,IF(W99&gt;=25,1,2))))*0.1+(IF(U99="",2,IF(U99&lt;=5,3,IF(U99&gt;=15,1,2))))*0.1+(IF(J99="Yes",3,IF(J99="No",1,2)))*0.05+(IF(OR(K99="",UPPER(TRIM(K99))="UNKNOWN"),2,IF(OR(UPPER(TRIM(K99))="NONE",ISNUMBER(SEARCH("no parking",K99))),1,3)))*0.05+(IF(AND(ISNUMBER(I99),I99&gt;=900),3,IF(AND(ISNUMBER(G99),G99&gt;=2),3,IF(AND(ISNUMBER(I99),I99&gt;=700),2,IF(AND(ISNUMBER(I99),I99&lt;700),1,2)))))*0.05</f>
        <v/>
      </c>
      <c r="Y99">
        <f>IF(X99&gt;=2.3,"Green",IF(X99&gt;=1.7,"Yellow","Red"))</f>
        <v/>
      </c>
    </row>
    <row r="100">
      <c r="A100" s="9" t="inlineStr">
        <is>
          <t>56 Ralph St #3, Watertown, MA 02472</t>
        </is>
      </c>
      <c r="B100" t="inlineStr">
        <is>
          <t>Watertown</t>
        </is>
      </c>
      <c r="C100" s="6" t="inlineStr">
        <is>
          <t>https://www.redfin.com/MA/Watertown/56-Ralph-St-02472/unit-3/home/57314411</t>
        </is>
      </c>
      <c r="D100" s="7" t="n"/>
      <c r="E100" s="3" t="n">
        <v>474900</v>
      </c>
      <c r="F100" s="3" t="n">
        <v>183</v>
      </c>
      <c r="G100" t="n">
        <v>1</v>
      </c>
      <c r="H100" t="n">
        <v>1</v>
      </c>
      <c r="I100" s="4" t="n">
        <v>983</v>
      </c>
      <c r="J100" t="inlineStr">
        <is>
          <t>No</t>
        </is>
      </c>
      <c r="K100" t="inlineStr">
        <is>
          <t>2 spaces</t>
        </is>
      </c>
      <c r="L100" s="3">
        <f>Assumptions!B3</f>
        <v/>
      </c>
      <c r="M100" s="3">
        <f>E100-L100</f>
        <v/>
      </c>
      <c r="N100" s="3">
        <f>-PMT(Assumptions!B2/12,Assumptions!B4*12,M100)</f>
        <v/>
      </c>
      <c r="O100" s="3">
        <f>E100*Assumptions!B5/12</f>
        <v/>
      </c>
      <c r="P100" s="3">
        <f>Assumptions!B6</f>
        <v/>
      </c>
      <c r="Q100" s="3">
        <f>Assumptions!B7+Assumptions!B8</f>
        <v/>
      </c>
      <c r="R100" s="3">
        <f>N100+F100+O100+P100+Q100</f>
        <v/>
      </c>
      <c r="S100" s="3" t="n">
        <v>0</v>
      </c>
      <c r="T100" s="3">
        <f>R100-S100*MAX(IFERROR(G100-1,0),0)</f>
        <v/>
      </c>
      <c r="U100" t="n">
        <v>8.9</v>
      </c>
      <c r="V100" t="n">
        <v>18.8</v>
      </c>
      <c r="W100" t="n">
        <v>16.4</v>
      </c>
      <c r="X100" s="8">
        <f>(IF(E100="",2,IF(E100&lt;=400000,3,IF(E100&gt;=500000,1,2))))*0.1+(IF(OR(G100="",G100=0),2,IF((E100/G100)&lt;=200000,3,IF((E100/G100)&gt;=300000,1,2))))*0.1+(IF(F100="",2,IF(F100&lt;=200,3,IF(F100&gt;=400,1,2))))*0.1+(IF(T100="",2,IF(T100&lt;=2000,3,IF(T100&gt;=3000,1,2))))*0.2+(IF(V100="",2,IF(V100&lt;=15,3,IF(V100&gt;=30,1,2))))*0.15+(IF(W100="",2,IF(W100&lt;=15,3,IF(W100&gt;=25,1,2))))*0.1+(IF(U100="",2,IF(U100&lt;=5,3,IF(U100&gt;=15,1,2))))*0.1+(IF(J100="Yes",3,IF(J100="No",1,2)))*0.05+(IF(OR(K100="",UPPER(TRIM(K100))="UNKNOWN"),2,IF(OR(UPPER(TRIM(K100))="NONE",ISNUMBER(SEARCH("no parking",K100))),1,3)))*0.05+(IF(AND(ISNUMBER(I100),I100&gt;=900),3,IF(AND(ISNUMBER(G100),G100&gt;=2),3,IF(AND(ISNUMBER(I100),I100&gt;=700),2,IF(AND(ISNUMBER(I100),I100&lt;700),1,2)))))*0.05</f>
        <v/>
      </c>
      <c r="Y100">
        <f>IF(X100&gt;=2.3,"Green",IF(X100&gt;=1.7,"Yellow","Red"))</f>
        <v/>
      </c>
    </row>
    <row r="101">
      <c r="A101" s="9" t="inlineStr">
        <is>
          <t>1945 Commonwealth Ave #4, Brighton, MA 02135</t>
        </is>
      </c>
      <c r="B101" t="inlineStr">
        <is>
          <t>Brighton</t>
        </is>
      </c>
      <c r="C101" s="6" t="inlineStr">
        <is>
          <t>https://www.redfin.com/MA/Brighton/1945-Commonwealth-Ave-02135/unit-4/home/9242382</t>
        </is>
      </c>
      <c r="D101" s="7" t="n"/>
      <c r="E101" s="3" t="n">
        <v>439000</v>
      </c>
      <c r="F101" s="3" t="n">
        <v>364</v>
      </c>
      <c r="G101" t="n">
        <v>1</v>
      </c>
      <c r="H101" t="n">
        <v>1</v>
      </c>
      <c r="I101" s="4" t="n">
        <v>605</v>
      </c>
      <c r="J101" t="inlineStr">
        <is>
          <t>No</t>
        </is>
      </c>
      <c r="K101" t="inlineStr">
        <is>
          <t>0 spaces</t>
        </is>
      </c>
      <c r="L101" s="3">
        <f>Assumptions!B3</f>
        <v/>
      </c>
      <c r="M101" s="3">
        <f>E101-L101</f>
        <v/>
      </c>
      <c r="N101" s="3">
        <f>-PMT(Assumptions!B2/12,Assumptions!B4*12,M101)</f>
        <v/>
      </c>
      <c r="O101" s="3">
        <f>E101*Assumptions!B5/12</f>
        <v/>
      </c>
      <c r="P101" s="3">
        <f>Assumptions!B6</f>
        <v/>
      </c>
      <c r="Q101" s="3">
        <f>Assumptions!B7+Assumptions!B8</f>
        <v/>
      </c>
      <c r="R101" s="3">
        <f>N101+F101+O101+P101+Q101</f>
        <v/>
      </c>
      <c r="S101" s="3" t="n">
        <v>0</v>
      </c>
      <c r="T101" s="3">
        <f>R101-S101*MAX(IFERROR(G101-1,0),0)</f>
        <v/>
      </c>
      <c r="U101" t="n">
        <v>1.8</v>
      </c>
      <c r="V101" t="n">
        <v>16.7</v>
      </c>
      <c r="W101" t="n">
        <v>15</v>
      </c>
      <c r="X101" s="8">
        <f>(IF(E101="",2,IF(E101&lt;=400000,3,IF(E101&gt;=500000,1,2))))*0.1+(IF(OR(G101="",G101=0),2,IF((E101/G101)&lt;=200000,3,IF((E101/G101)&gt;=300000,1,2))))*0.1+(IF(F101="",2,IF(F101&lt;=200,3,IF(F101&gt;=400,1,2))))*0.1+(IF(T101="",2,IF(T101&lt;=2000,3,IF(T101&gt;=3000,1,2))))*0.2+(IF(V101="",2,IF(V101&lt;=15,3,IF(V101&gt;=30,1,2))))*0.15+(IF(W101="",2,IF(W101&lt;=15,3,IF(W101&gt;=25,1,2))))*0.1+(IF(U101="",2,IF(U101&lt;=5,3,IF(U101&gt;=15,1,2))))*0.1+(IF(J101="Yes",3,IF(J101="No",1,2)))*0.05+(IF(OR(K101="",UPPER(TRIM(K101))="UNKNOWN"),2,IF(OR(UPPER(TRIM(K101))="NONE",ISNUMBER(SEARCH("no parking",K101))),1,3)))*0.05+(IF(AND(ISNUMBER(I101),I101&gt;=900),3,IF(AND(ISNUMBER(G101),G101&gt;=2),3,IF(AND(ISNUMBER(I101),I101&gt;=700),2,IF(AND(ISNUMBER(I101),I101&lt;700),1,2)))))*0.05</f>
        <v/>
      </c>
      <c r="Y101">
        <f>IF(X101&gt;=2.3,"Green",IF(X101&gt;=1.7,"Yellow","Red"))</f>
        <v/>
      </c>
    </row>
    <row r="102">
      <c r="A102" s="9" t="inlineStr">
        <is>
          <t>26 Chiswick Rd #6, Brighton, MA 02135</t>
        </is>
      </c>
      <c r="B102" t="inlineStr">
        <is>
          <t>Brighton</t>
        </is>
      </c>
      <c r="C102" s="6" t="inlineStr">
        <is>
          <t>https://www.redfin.com/MA/Brighton/26-Chiswick-Rd-02135/unit-6/home/9026723</t>
        </is>
      </c>
      <c r="D102" s="7" t="n"/>
      <c r="E102" s="3" t="n">
        <v>368000</v>
      </c>
      <c r="F102" s="3" t="n">
        <v>472</v>
      </c>
      <c r="G102" t="n">
        <v>1</v>
      </c>
      <c r="H102" t="n">
        <v>1</v>
      </c>
      <c r="I102" s="4" t="n">
        <v>470</v>
      </c>
      <c r="J102" t="inlineStr">
        <is>
          <t>No</t>
        </is>
      </c>
      <c r="K102" t="inlineStr">
        <is>
          <t>0 spaces</t>
        </is>
      </c>
      <c r="L102" s="3">
        <f>Assumptions!B3</f>
        <v/>
      </c>
      <c r="M102" s="3">
        <f>E102-L102</f>
        <v/>
      </c>
      <c r="N102" s="3">
        <f>-PMT(Assumptions!B2/12,Assumptions!B4*12,M102)</f>
        <v/>
      </c>
      <c r="O102" s="3">
        <f>E102*Assumptions!B5/12</f>
        <v/>
      </c>
      <c r="P102" s="3">
        <f>Assumptions!B6</f>
        <v/>
      </c>
      <c r="Q102" s="3">
        <f>Assumptions!B7+Assumptions!B8</f>
        <v/>
      </c>
      <c r="R102" s="3">
        <f>N102+F102+O102+P102+Q102</f>
        <v/>
      </c>
      <c r="S102" s="3" t="n">
        <v>0</v>
      </c>
      <c r="T102" s="3">
        <f>R102-S102*MAX(IFERROR(G102-1,0),0)</f>
        <v/>
      </c>
      <c r="U102" t="n">
        <v>1.4</v>
      </c>
      <c r="V102" t="n">
        <v>15.6</v>
      </c>
      <c r="W102" t="n">
        <v>13.8</v>
      </c>
      <c r="X102" s="8">
        <f>(IF(E102="",2,IF(E102&lt;=400000,3,IF(E102&gt;=500000,1,2))))*0.1+(IF(OR(G102="",G102=0),2,IF((E102/G102)&lt;=200000,3,IF((E102/G102)&gt;=300000,1,2))))*0.1+(IF(F102="",2,IF(F102&lt;=200,3,IF(F102&gt;=400,1,2))))*0.1+(IF(T102="",2,IF(T102&lt;=2000,3,IF(T102&gt;=3000,1,2))))*0.2+(IF(V102="",2,IF(V102&lt;=15,3,IF(V102&gt;=30,1,2))))*0.15+(IF(W102="",2,IF(W102&lt;=15,3,IF(W102&gt;=25,1,2))))*0.1+(IF(U102="",2,IF(U102&lt;=5,3,IF(U102&gt;=15,1,2))))*0.1+(IF(J102="Yes",3,IF(J102="No",1,2)))*0.05+(IF(OR(K102="",UPPER(TRIM(K102))="UNKNOWN"),2,IF(OR(UPPER(TRIM(K102))="NONE",ISNUMBER(SEARCH("no parking",K102))),1,3)))*0.05+(IF(AND(ISNUMBER(I102),I102&gt;=900),3,IF(AND(ISNUMBER(G102),G102&gt;=2),3,IF(AND(ISNUMBER(I102),I102&gt;=700),2,IF(AND(ISNUMBER(I102),I102&lt;700),1,2)))))*0.05</f>
        <v/>
      </c>
      <c r="Y102">
        <f>IF(X102&gt;=2.3,"Green",IF(X102&gt;=1.7,"Yellow","Red"))</f>
        <v/>
      </c>
    </row>
    <row r="103">
      <c r="A103" s="9" t="inlineStr">
        <is>
          <t>76 Taft Ave #1, West Newton, MA 02465</t>
        </is>
      </c>
      <c r="B103" t="inlineStr">
        <is>
          <t>Newton</t>
        </is>
      </c>
      <c r="C103" s="6" t="inlineStr">
        <is>
          <t>https://www.redfin.com/MA/West-Newton/76-Taft-Ave-02465/unit-1/home/11433253</t>
        </is>
      </c>
      <c r="D103" s="7" t="n"/>
      <c r="E103" s="3" t="n">
        <v>599000</v>
      </c>
      <c r="F103" s="3" t="n">
        <v>200</v>
      </c>
      <c r="G103" t="n">
        <v>2</v>
      </c>
      <c r="H103" t="n">
        <v>1</v>
      </c>
      <c r="I103" s="4" t="n">
        <v>862</v>
      </c>
      <c r="J103" t="inlineStr">
        <is>
          <t>No</t>
        </is>
      </c>
      <c r="K103" t="inlineStr">
        <is>
          <t>3 spaces</t>
        </is>
      </c>
      <c r="L103" s="3">
        <f>Assumptions!B3</f>
        <v/>
      </c>
      <c r="M103" s="3">
        <f>E103-L103</f>
        <v/>
      </c>
      <c r="N103" s="3">
        <f>-PMT(Assumptions!B2/12,Assumptions!B4*12,M103)</f>
        <v/>
      </c>
      <c r="O103" s="3">
        <f>E103*Assumptions!B5/12</f>
        <v/>
      </c>
      <c r="P103" s="3">
        <f>Assumptions!B6</f>
        <v/>
      </c>
      <c r="Q103" s="3">
        <f>Assumptions!B7+Assumptions!B8</f>
        <v/>
      </c>
      <c r="R103" s="3">
        <f>N103+F103+O103+P103+Q103</f>
        <v/>
      </c>
      <c r="S103" s="3" t="n">
        <v>1430</v>
      </c>
      <c r="T103" s="3">
        <f>R103-S103*MAX(IFERROR(G103-1,0),0)</f>
        <v/>
      </c>
      <c r="U103" t="n">
        <v>7.1</v>
      </c>
      <c r="V103" t="n">
        <v>18.1</v>
      </c>
      <c r="W103" t="n">
        <v>18.7</v>
      </c>
      <c r="X103" s="8">
        <f>(IF(E103="",2,IF(E103&lt;=400000,3,IF(E103&gt;=500000,1,2))))*0.1+(IF(OR(G103="",G103=0),2,IF((E103/G103)&lt;=200000,3,IF((E103/G103)&gt;=300000,1,2))))*0.1+(IF(F103="",2,IF(F103&lt;=200,3,IF(F103&gt;=400,1,2))))*0.1+(IF(T103="",2,IF(T103&lt;=2000,3,IF(T103&gt;=3000,1,2))))*0.2+(IF(V103="",2,IF(V103&lt;=15,3,IF(V103&gt;=30,1,2))))*0.15+(IF(W103="",2,IF(W103&lt;=15,3,IF(W103&gt;=25,1,2))))*0.1+(IF(U103="",2,IF(U103&lt;=5,3,IF(U103&gt;=15,1,2))))*0.1+(IF(J103="Yes",3,IF(J103="No",1,2)))*0.05+(IF(OR(K103="",UPPER(TRIM(K103))="UNKNOWN"),2,IF(OR(UPPER(TRIM(K103))="NONE",ISNUMBER(SEARCH("no parking",K103))),1,3)))*0.05+(IF(AND(ISNUMBER(I103),I103&gt;=900),3,IF(AND(ISNUMBER(G103),G103&gt;=2),3,IF(AND(ISNUMBER(I103),I103&gt;=700),2,IF(AND(ISNUMBER(I103),I103&lt;700),1,2)))))*0.05</f>
        <v/>
      </c>
      <c r="Y103">
        <f>IF(X103&gt;=2.3,"Green",IF(X103&gt;=1.7,"Yellow","Red"))</f>
        <v/>
      </c>
    </row>
    <row r="104">
      <c r="A104" s="9" t="inlineStr">
        <is>
          <t>28 Sidlaw Rd #2, Brighton, MA 02135</t>
        </is>
      </c>
      <c r="B104" t="inlineStr">
        <is>
          <t>Brighton</t>
        </is>
      </c>
      <c r="C104" s="6" t="inlineStr">
        <is>
          <t>https://www.redfin.com/MA/Brighton/28-Sidlaw-Rd-02135/unit-2/home/9007059</t>
        </is>
      </c>
      <c r="D104" s="7" t="n"/>
      <c r="E104" s="3" t="n">
        <v>399900</v>
      </c>
      <c r="F104" s="3" t="n">
        <v>414</v>
      </c>
      <c r="G104" t="n">
        <v>1</v>
      </c>
      <c r="H104" t="n">
        <v>1</v>
      </c>
      <c r="I104" s="4" t="n">
        <v>638</v>
      </c>
      <c r="J104" t="inlineStr">
        <is>
          <t>No</t>
        </is>
      </c>
      <c r="K104" t="inlineStr">
        <is>
          <t>0 spaces</t>
        </is>
      </c>
      <c r="L104" s="3">
        <f>Assumptions!B3</f>
        <v/>
      </c>
      <c r="M104" s="3">
        <f>E104-L104</f>
        <v/>
      </c>
      <c r="N104" s="3">
        <f>-PMT(Assumptions!B2/12,Assumptions!B4*12,M104)</f>
        <v/>
      </c>
      <c r="O104" s="3">
        <f>E104*Assumptions!B5/12</f>
        <v/>
      </c>
      <c r="P104" s="3">
        <f>Assumptions!B6</f>
        <v/>
      </c>
      <c r="Q104" s="3">
        <f>Assumptions!B7+Assumptions!B8</f>
        <v/>
      </c>
      <c r="R104" s="3">
        <f>N104+F104+O104+P104+Q104</f>
        <v/>
      </c>
      <c r="S104" s="3" t="n">
        <v>0</v>
      </c>
      <c r="T104" s="3">
        <f>R104-S104*MAX(IFERROR(G104-1,0),0)</f>
        <v/>
      </c>
      <c r="U104" t="n">
        <v>1.2</v>
      </c>
      <c r="V104" t="n">
        <v>16.1</v>
      </c>
      <c r="W104" t="n">
        <v>14.5</v>
      </c>
      <c r="X104" s="8">
        <f>(IF(E104="",2,IF(E104&lt;=400000,3,IF(E104&gt;=500000,1,2))))*0.1+(IF(OR(G104="",G104=0),2,IF((E104/G104)&lt;=200000,3,IF((E104/G104)&gt;=300000,1,2))))*0.1+(IF(F104="",2,IF(F104&lt;=200,3,IF(F104&gt;=400,1,2))))*0.1+(IF(T104="",2,IF(T104&lt;=2000,3,IF(T104&gt;=3000,1,2))))*0.2+(IF(V104="",2,IF(V104&lt;=15,3,IF(V104&gt;=30,1,2))))*0.15+(IF(W104="",2,IF(W104&lt;=15,3,IF(W104&gt;=25,1,2))))*0.1+(IF(U104="",2,IF(U104&lt;=5,3,IF(U104&gt;=15,1,2))))*0.1+(IF(J104="Yes",3,IF(J104="No",1,2)))*0.05+(IF(OR(K104="",UPPER(TRIM(K104))="UNKNOWN"),2,IF(OR(UPPER(TRIM(K104))="NONE",ISNUMBER(SEARCH("no parking",K104))),1,3)))*0.05+(IF(AND(ISNUMBER(I104),I104&gt;=900),3,IF(AND(ISNUMBER(G104),G104&gt;=2),3,IF(AND(ISNUMBER(I104),I104&gt;=700),2,IF(AND(ISNUMBER(I104),I104&lt;700),1,2)))))*0.05</f>
        <v/>
      </c>
      <c r="Y104">
        <f>IF(X104&gt;=2.3,"Green",IF(X104&gt;=1.7,"Yellow","Red"))</f>
        <v/>
      </c>
    </row>
    <row r="105">
      <c r="A105" s="9" t="inlineStr">
        <is>
          <t>70 Strathmore Rd Unit 10A, Brighton, MA 02135</t>
        </is>
      </c>
      <c r="B105" t="inlineStr">
        <is>
          <t>Brighton</t>
        </is>
      </c>
      <c r="C105" s="6" t="inlineStr">
        <is>
          <t>https://www.redfin.com/MA/Brighton/70-Strathmore-Rd-02135/unit-10A/home/9028575</t>
        </is>
      </c>
      <c r="D105" s="7" t="n"/>
      <c r="E105" s="3" t="n">
        <v>349500</v>
      </c>
      <c r="F105" s="3" t="n">
        <v>421</v>
      </c>
      <c r="G105" t="n">
        <v>1</v>
      </c>
      <c r="H105" t="n">
        <v>1</v>
      </c>
      <c r="I105" s="4" t="n">
        <v>435</v>
      </c>
      <c r="J105" t="inlineStr">
        <is>
          <t>No</t>
        </is>
      </c>
      <c r="K105" t="inlineStr">
        <is>
          <t>0 spaces</t>
        </is>
      </c>
      <c r="L105" s="3">
        <f>Assumptions!B3</f>
        <v/>
      </c>
      <c r="M105" s="3">
        <f>E105-L105</f>
        <v/>
      </c>
      <c r="N105" s="3">
        <f>-PMT(Assumptions!B2/12,Assumptions!B4*12,M105)</f>
        <v/>
      </c>
      <c r="O105" s="3">
        <f>E105*Assumptions!B5/12</f>
        <v/>
      </c>
      <c r="P105" s="3">
        <f>Assumptions!B6</f>
        <v/>
      </c>
      <c r="Q105" s="3">
        <f>Assumptions!B7+Assumptions!B8</f>
        <v/>
      </c>
      <c r="R105" s="3">
        <f>N105+F105+O105+P105+Q105</f>
        <v/>
      </c>
      <c r="S105" s="3" t="n">
        <v>0</v>
      </c>
      <c r="T105" s="3">
        <f>R105-S105*MAX(IFERROR(G105-1,0),0)</f>
        <v/>
      </c>
      <c r="U105" t="n">
        <v>0.6</v>
      </c>
      <c r="V105" t="n">
        <v>16</v>
      </c>
      <c r="W105" t="n">
        <v>13.4</v>
      </c>
      <c r="X105" s="8">
        <f>(IF(E105="",2,IF(E105&lt;=400000,3,IF(E105&gt;=500000,1,2))))*0.1+(IF(OR(G105="",G105=0),2,IF((E105/G105)&lt;=200000,3,IF((E105/G105)&gt;=300000,1,2))))*0.1+(IF(F105="",2,IF(F105&lt;=200,3,IF(F105&gt;=400,1,2))))*0.1+(IF(T105="",2,IF(T105&lt;=2000,3,IF(T105&gt;=3000,1,2))))*0.2+(IF(V105="",2,IF(V105&lt;=15,3,IF(V105&gt;=30,1,2))))*0.15+(IF(W105="",2,IF(W105&lt;=15,3,IF(W105&gt;=25,1,2))))*0.1+(IF(U105="",2,IF(U105&lt;=5,3,IF(U105&gt;=15,1,2))))*0.1+(IF(J105="Yes",3,IF(J105="No",1,2)))*0.05+(IF(OR(K105="",UPPER(TRIM(K105))="UNKNOWN"),2,IF(OR(UPPER(TRIM(K105))="NONE",ISNUMBER(SEARCH("no parking",K105))),1,3)))*0.05+(IF(AND(ISNUMBER(I105),I105&gt;=900),3,IF(AND(ISNUMBER(G105),G105&gt;=2),3,IF(AND(ISNUMBER(I105),I105&gt;=700),2,IF(AND(ISNUMBER(I105),I105&lt;700),1,2)))))*0.05</f>
        <v/>
      </c>
      <c r="Y105">
        <f>IF(X105&gt;=2.3,"Green",IF(X105&gt;=1.7,"Yellow","Red"))</f>
        <v/>
      </c>
    </row>
    <row r="106">
      <c r="A106" s="9" t="inlineStr">
        <is>
          <t>370 Chestnut Hl #3, Brighton, MA 02135</t>
        </is>
      </c>
      <c r="B106" t="inlineStr">
        <is>
          <t>Brighton</t>
        </is>
      </c>
      <c r="C106" s="6" t="inlineStr">
        <is>
          <t>https://www.redfin.com/MA/Brighton/370-Chestnut-Hill-Ave-02135/unit-3/home/39912751</t>
        </is>
      </c>
      <c r="D106" s="7" t="n"/>
      <c r="E106" s="3" t="n">
        <v>529000</v>
      </c>
      <c r="F106" s="3" t="n">
        <v>499</v>
      </c>
      <c r="G106" t="n">
        <v>2</v>
      </c>
      <c r="H106" t="n">
        <v>1</v>
      </c>
      <c r="I106" s="4" t="n">
        <v>730</v>
      </c>
      <c r="J106" t="inlineStr">
        <is>
          <t>No</t>
        </is>
      </c>
      <c r="K106" t="inlineStr">
        <is>
          <t>0 spaces</t>
        </is>
      </c>
      <c r="L106" s="3">
        <f>Assumptions!B3</f>
        <v/>
      </c>
      <c r="M106" s="3">
        <f>E106-L106</f>
        <v/>
      </c>
      <c r="N106" s="3">
        <f>-PMT(Assumptions!B2/12,Assumptions!B4*12,M106)</f>
        <v/>
      </c>
      <c r="O106" s="3">
        <f>E106*Assumptions!B5/12</f>
        <v/>
      </c>
      <c r="P106" s="3">
        <f>Assumptions!B6</f>
        <v/>
      </c>
      <c r="Q106" s="3">
        <f>Assumptions!B7+Assumptions!B8</f>
        <v/>
      </c>
      <c r="R106" s="3">
        <f>N106+F106+O106+P106+Q106</f>
        <v/>
      </c>
      <c r="S106" s="3" t="n">
        <v>1300</v>
      </c>
      <c r="T106" s="3">
        <f>R106-S106*MAX(IFERROR(G106-1,0),0)</f>
        <v/>
      </c>
      <c r="U106" t="n">
        <v>0.1</v>
      </c>
      <c r="V106" t="n">
        <v>16.3</v>
      </c>
      <c r="W106" t="n">
        <v>13.4</v>
      </c>
      <c r="X106" s="8">
        <f>(IF(E106="",2,IF(E106&lt;=400000,3,IF(E106&gt;=500000,1,2))))*0.1+(IF(OR(G106="",G106=0),2,IF((E106/G106)&lt;=200000,3,IF((E106/G106)&gt;=300000,1,2))))*0.1+(IF(F106="",2,IF(F106&lt;=200,3,IF(F106&gt;=400,1,2))))*0.1+(IF(T106="",2,IF(T106&lt;=2000,3,IF(T106&gt;=3000,1,2))))*0.2+(IF(V106="",2,IF(V106&lt;=15,3,IF(V106&gt;=30,1,2))))*0.15+(IF(W106="",2,IF(W106&lt;=15,3,IF(W106&gt;=25,1,2))))*0.1+(IF(U106="",2,IF(U106&lt;=5,3,IF(U106&gt;=15,1,2))))*0.1+(IF(J106="Yes",3,IF(J106="No",1,2)))*0.05+(IF(OR(K106="",UPPER(TRIM(K106))="UNKNOWN"),2,IF(OR(UPPER(TRIM(K106))="NONE",ISNUMBER(SEARCH("no parking",K106))),1,3)))*0.05+(IF(AND(ISNUMBER(I106),I106&gt;=900),3,IF(AND(ISNUMBER(G106),G106&gt;=2),3,IF(AND(ISNUMBER(I106),I106&gt;=700),2,IF(AND(ISNUMBER(I106),I106&lt;700),1,2)))))*0.05</f>
        <v/>
      </c>
      <c r="Y106">
        <f>IF(X106&gt;=2.3,"Green",IF(X106&gt;=1.7,"Yellow","Red"))</f>
        <v/>
      </c>
    </row>
    <row r="107">
      <c r="A107" s="9" t="inlineStr">
        <is>
          <t>26 Waverly St #202, Brighton, MA 02135</t>
        </is>
      </c>
      <c r="B107" t="inlineStr">
        <is>
          <t>Brighton</t>
        </is>
      </c>
      <c r="C107" s="6" t="inlineStr">
        <is>
          <t>https://www.redfin.com/MA/Brighton/26-Waverly-St-02135/unit-202/home/9010573</t>
        </is>
      </c>
      <c r="D107" s="7" t="inlineStr">
        <is>
          <t>2026-04-10</t>
        </is>
      </c>
      <c r="E107" s="3" t="n">
        <v>473900</v>
      </c>
      <c r="F107" s="3" t="n">
        <v>409</v>
      </c>
      <c r="G107" t="n">
        <v>1</v>
      </c>
      <c r="H107" t="n">
        <v>1</v>
      </c>
      <c r="I107" s="4" t="n">
        <v>690</v>
      </c>
      <c r="J107" t="inlineStr">
        <is>
          <t>No</t>
        </is>
      </c>
      <c r="K107" t="inlineStr">
        <is>
          <t>1 space</t>
        </is>
      </c>
      <c r="L107" s="3">
        <f>Assumptions!B3</f>
        <v/>
      </c>
      <c r="M107" s="3">
        <f>E107-L107</f>
        <v/>
      </c>
      <c r="N107" s="3">
        <f>-PMT(Assumptions!B2/12,Assumptions!B4*12,M107)</f>
        <v/>
      </c>
      <c r="O107" s="3">
        <f>E107*Assumptions!B5/12</f>
        <v/>
      </c>
      <c r="P107" s="3">
        <f>Assumptions!B6</f>
        <v/>
      </c>
      <c r="Q107" s="3">
        <f>Assumptions!B7+Assumptions!B8</f>
        <v/>
      </c>
      <c r="R107" s="3">
        <f>N107+F107+O107+P107+Q107</f>
        <v/>
      </c>
      <c r="S107" s="3" t="n">
        <v>0</v>
      </c>
      <c r="T107" s="3">
        <f>R107-S107*MAX(IFERROR(G107-1,0),0)</f>
        <v/>
      </c>
      <c r="U107" t="n">
        <v>5.9</v>
      </c>
      <c r="V107" t="n">
        <v>12.5</v>
      </c>
      <c r="W107" t="n">
        <v>12.2</v>
      </c>
      <c r="X107" s="8">
        <f>(IF(E107="",2,IF(E107&lt;=400000,3,IF(E107&gt;=500000,1,2))))*0.1+(IF(OR(G107="",G107=0),2,IF((E107/G107)&lt;=200000,3,IF((E107/G107)&gt;=300000,1,2))))*0.1+(IF(F107="",2,IF(F107&lt;=200,3,IF(F107&gt;=400,1,2))))*0.1+(IF(T107="",2,IF(T107&lt;=2000,3,IF(T107&gt;=3000,1,2))))*0.2+(IF(V107="",2,IF(V107&lt;=15,3,IF(V107&gt;=30,1,2))))*0.15+(IF(W107="",2,IF(W107&lt;=15,3,IF(W107&gt;=25,1,2))))*0.1+(IF(U107="",2,IF(U107&lt;=5,3,IF(U107&gt;=15,1,2))))*0.1+(IF(J107="Yes",3,IF(J107="No",1,2)))*0.05+(IF(OR(K107="",UPPER(TRIM(K107))="UNKNOWN"),2,IF(OR(UPPER(TRIM(K107))="NONE",ISNUMBER(SEARCH("no parking",K107))),1,3)))*0.05+(IF(AND(ISNUMBER(I107),I107&gt;=900),3,IF(AND(ISNUMBER(G107),G107&gt;=2),3,IF(AND(ISNUMBER(I107),I107&gt;=700),2,IF(AND(ISNUMBER(I107),I107&lt;700),1,2)))))*0.05</f>
        <v/>
      </c>
      <c r="Y107">
        <f>IF(X107&gt;=2.3,"Green",IF(X107&gt;=1.7,"Yellow","Red"))</f>
        <v/>
      </c>
    </row>
    <row r="108">
      <c r="A108" s="9" t="inlineStr">
        <is>
          <t>200 Cove Way #113, Quincy, MA 02169</t>
        </is>
      </c>
      <c r="B108" t="inlineStr">
        <is>
          <t>Quincy</t>
        </is>
      </c>
      <c r="C108" s="6" t="inlineStr">
        <is>
          <t>https://www.redfin.com/MA/Quincy/200-Cove-Way-02169/unit-113/home/11719132</t>
        </is>
      </c>
      <c r="D108" s="7" t="inlineStr">
        <is>
          <t>2026-05-11</t>
        </is>
      </c>
      <c r="E108" s="3" t="n">
        <v>359900</v>
      </c>
      <c r="F108" s="3" t="n">
        <v>453</v>
      </c>
      <c r="G108" t="n">
        <v>1</v>
      </c>
      <c r="H108" t="n">
        <v>1</v>
      </c>
      <c r="I108" s="4" t="n">
        <v>776</v>
      </c>
      <c r="J108" t="inlineStr">
        <is>
          <t>No</t>
        </is>
      </c>
      <c r="K108" t="inlineStr">
        <is>
          <t>1 space</t>
        </is>
      </c>
      <c r="L108" s="3">
        <f>Assumptions!B3</f>
        <v/>
      </c>
      <c r="M108" s="3">
        <f>E108-L108</f>
        <v/>
      </c>
      <c r="N108" s="3">
        <f>-PMT(Assumptions!B2/12,Assumptions!B4*12,M108)</f>
        <v/>
      </c>
      <c r="O108" s="3">
        <f>E108*Assumptions!B5/12</f>
        <v/>
      </c>
      <c r="P108" s="3">
        <f>Assumptions!B6</f>
        <v/>
      </c>
      <c r="Q108" s="3">
        <f>Assumptions!B7+Assumptions!B8</f>
        <v/>
      </c>
      <c r="R108" s="3">
        <f>N108+F108+O108+P108+Q108</f>
        <v/>
      </c>
      <c r="S108" s="3" t="n">
        <v>0</v>
      </c>
      <c r="T108" s="3">
        <f>R108-S108*MAX(IFERROR(G108-1,0),0)</f>
        <v/>
      </c>
      <c r="U108" t="n">
        <v>4.8</v>
      </c>
      <c r="V108" t="n">
        <v>20.6</v>
      </c>
      <c r="W108" t="n">
        <v>24.7</v>
      </c>
      <c r="X108" s="8">
        <f>(IF(E108="",2,IF(E108&lt;=400000,3,IF(E108&gt;=500000,1,2))))*0.1+(IF(OR(G108="",G108=0),2,IF((E108/G108)&lt;=200000,3,IF((E108/G108)&gt;=300000,1,2))))*0.1+(IF(F108="",2,IF(F108&lt;=200,3,IF(F108&gt;=400,1,2))))*0.1+(IF(T108="",2,IF(T108&lt;=2000,3,IF(T108&gt;=3000,1,2))))*0.2+(IF(V108="",2,IF(V108&lt;=15,3,IF(V108&gt;=30,1,2))))*0.15+(IF(W108="",2,IF(W108&lt;=15,3,IF(W108&gt;=25,1,2))))*0.1+(IF(U108="",2,IF(U108&lt;=5,3,IF(U108&gt;=15,1,2))))*0.1+(IF(J108="Yes",3,IF(J108="No",1,2)))*0.05+(IF(OR(K108="",UPPER(TRIM(K108))="UNKNOWN"),2,IF(OR(UPPER(TRIM(K108))="NONE",ISNUMBER(SEARCH("no parking",K108))),1,3)))*0.05+(IF(AND(ISNUMBER(I108),I108&gt;=900),3,IF(AND(ISNUMBER(G108),G108&gt;=2),3,IF(AND(ISNUMBER(I108),I108&gt;=700),2,IF(AND(ISNUMBER(I108),I108&lt;700),1,2)))))*0.05</f>
        <v/>
      </c>
      <c r="Y108">
        <f>IF(X108&gt;=2.3,"Green",IF(X108&gt;=1.7,"Yellow","Red"))</f>
        <v/>
      </c>
    </row>
    <row r="109">
      <c r="A109" s="9" t="inlineStr">
        <is>
          <t>21 Chauncy Unit B, Cambridge, MA 02138</t>
        </is>
      </c>
      <c r="B109" t="inlineStr">
        <is>
          <t>Cambridge</t>
        </is>
      </c>
      <c r="C109" s="6" t="inlineStr">
        <is>
          <t>https://www.redfin.com/MA/Cambridge/21-Chauncy-St-02138/unit-B/home/201742050</t>
        </is>
      </c>
      <c r="D109" s="7" t="inlineStr">
        <is>
          <t>2026-05-07</t>
        </is>
      </c>
      <c r="E109" s="3" t="n">
        <v>550000</v>
      </c>
      <c r="F109" s="3" t="n">
        <v>425</v>
      </c>
      <c r="G109" t="n">
        <v>1</v>
      </c>
      <c r="H109" t="n">
        <v>1</v>
      </c>
      <c r="I109" s="4" t="n">
        <v>628</v>
      </c>
      <c r="J109" t="inlineStr">
        <is>
          <t>No</t>
        </is>
      </c>
      <c r="K109" t="inlineStr">
        <is>
          <t>0 spaces</t>
        </is>
      </c>
      <c r="L109" s="3">
        <f>Assumptions!B3</f>
        <v/>
      </c>
      <c r="M109" s="3">
        <f>E109-L109</f>
        <v/>
      </c>
      <c r="N109" s="3">
        <f>-PMT(Assumptions!B2/12,Assumptions!B4*12,M109)</f>
        <v/>
      </c>
      <c r="O109" s="3">
        <f>E109*Assumptions!B5/12</f>
        <v/>
      </c>
      <c r="P109" s="3">
        <f>Assumptions!B6</f>
        <v/>
      </c>
      <c r="Q109" s="3">
        <f>Assumptions!B7+Assumptions!B8</f>
        <v/>
      </c>
      <c r="R109" s="3">
        <f>N109+F109+O109+P109+Q109</f>
        <v/>
      </c>
      <c r="S109" s="3" t="n">
        <v>0</v>
      </c>
      <c r="T109" s="3">
        <f>R109-S109*MAX(IFERROR(G109-1,0),0)</f>
        <v/>
      </c>
      <c r="U109" t="n">
        <v>4.1</v>
      </c>
      <c r="V109" t="n">
        <v>14.8</v>
      </c>
      <c r="W109" t="n">
        <v>9.300000000000001</v>
      </c>
      <c r="X109" s="8">
        <f>(IF(E109="",2,IF(E109&lt;=400000,3,IF(E109&gt;=500000,1,2))))*0.1+(IF(OR(G109="",G109=0),2,IF((E109/G109)&lt;=200000,3,IF((E109/G109)&gt;=300000,1,2))))*0.1+(IF(F109="",2,IF(F109&lt;=200,3,IF(F109&gt;=400,1,2))))*0.1+(IF(T109="",2,IF(T109&lt;=2000,3,IF(T109&gt;=3000,1,2))))*0.2+(IF(V109="",2,IF(V109&lt;=15,3,IF(V109&gt;=30,1,2))))*0.15+(IF(W109="",2,IF(W109&lt;=15,3,IF(W109&gt;=25,1,2))))*0.1+(IF(U109="",2,IF(U109&lt;=5,3,IF(U109&gt;=15,1,2))))*0.1+(IF(J109="Yes",3,IF(J109="No",1,2)))*0.05+(IF(OR(K109="",UPPER(TRIM(K109))="UNKNOWN"),2,IF(OR(UPPER(TRIM(K109))="NONE",ISNUMBER(SEARCH("no parking",K109))),1,3)))*0.05+(IF(AND(ISNUMBER(I109),I109&gt;=900),3,IF(AND(ISNUMBER(G109),G109&gt;=2),3,IF(AND(ISNUMBER(I109),I109&gt;=700),2,IF(AND(ISNUMBER(I109),I109&lt;700),1,2)))))*0.05</f>
        <v/>
      </c>
      <c r="Y109">
        <f>IF(X109&gt;=2.3,"Green",IF(X109&gt;=1.7,"Yellow","Red"))</f>
        <v/>
      </c>
    </row>
    <row r="110">
      <c r="A110" s="9" t="inlineStr">
        <is>
          <t>5 Centre St #11, Cambridge, MA 02139</t>
        </is>
      </c>
      <c r="B110" t="inlineStr">
        <is>
          <t>Cambridge</t>
        </is>
      </c>
      <c r="C110" s="6" t="inlineStr">
        <is>
          <t>https://www.redfin.com/MA/Cambridge/5-Centre-St-02139/unit-11/home/11600440</t>
        </is>
      </c>
      <c r="D110" s="7" t="inlineStr">
        <is>
          <t>2026-04-16</t>
        </is>
      </c>
      <c r="E110" s="3" t="n">
        <v>529900</v>
      </c>
      <c r="F110" s="3" t="n">
        <v>405</v>
      </c>
      <c r="G110" t="n">
        <v>1</v>
      </c>
      <c r="H110" t="n">
        <v>1</v>
      </c>
      <c r="I110" s="4" t="n">
        <v>474</v>
      </c>
      <c r="J110" t="inlineStr">
        <is>
          <t>No</t>
        </is>
      </c>
      <c r="K110" t="inlineStr">
        <is>
          <t>1 space</t>
        </is>
      </c>
      <c r="L110" s="3">
        <f>Assumptions!B3</f>
        <v/>
      </c>
      <c r="M110" s="3">
        <f>E110-L110</f>
        <v/>
      </c>
      <c r="N110" s="3">
        <f>-PMT(Assumptions!B2/12,Assumptions!B4*12,M110)</f>
        <v/>
      </c>
      <c r="O110" s="3">
        <f>E110*Assumptions!B5/12</f>
        <v/>
      </c>
      <c r="P110" s="3">
        <f>Assumptions!B6</f>
        <v/>
      </c>
      <c r="Q110" s="3">
        <f>Assumptions!B7+Assumptions!B8</f>
        <v/>
      </c>
      <c r="R110" s="3">
        <f>N110+F110+O110+P110+Q110</f>
        <v/>
      </c>
      <c r="S110" s="3" t="n">
        <v>0</v>
      </c>
      <c r="T110" s="3">
        <f>R110-S110*MAX(IFERROR(G110-1,0),0)</f>
        <v/>
      </c>
      <c r="U110" t="n">
        <v>2.6</v>
      </c>
      <c r="V110" t="n">
        <v>13.2</v>
      </c>
      <c r="W110" t="n">
        <v>5.6</v>
      </c>
      <c r="X110" s="8">
        <f>(IF(E110="",2,IF(E110&lt;=400000,3,IF(E110&gt;=500000,1,2))))*0.1+(IF(OR(G110="",G110=0),2,IF((E110/G110)&lt;=200000,3,IF((E110/G110)&gt;=300000,1,2))))*0.1+(IF(F110="",2,IF(F110&lt;=200,3,IF(F110&gt;=400,1,2))))*0.1+(IF(T110="",2,IF(T110&lt;=2000,3,IF(T110&gt;=3000,1,2))))*0.2+(IF(V110="",2,IF(V110&lt;=15,3,IF(V110&gt;=30,1,2))))*0.15+(IF(W110="",2,IF(W110&lt;=15,3,IF(W110&gt;=25,1,2))))*0.1+(IF(U110="",2,IF(U110&lt;=5,3,IF(U110&gt;=15,1,2))))*0.1+(IF(J110="Yes",3,IF(J110="No",1,2)))*0.05+(IF(OR(K110="",UPPER(TRIM(K110))="UNKNOWN"),2,IF(OR(UPPER(TRIM(K110))="NONE",ISNUMBER(SEARCH("no parking",K110))),1,3)))*0.05+(IF(AND(ISNUMBER(I110),I110&gt;=900),3,IF(AND(ISNUMBER(G110),G110&gt;=2),3,IF(AND(ISNUMBER(I110),I110&gt;=700),2,IF(AND(ISNUMBER(I110),I110&lt;700),1,2)))))*0.05</f>
        <v/>
      </c>
      <c r="Y110">
        <f>IF(X110&gt;=2.3,"Green",IF(X110&gt;=1.7,"Yellow","Red"))</f>
        <v/>
      </c>
    </row>
    <row r="111">
      <c r="A111" s="9" t="inlineStr">
        <is>
          <t>465 Park Dr #2, Boston, MA 02215</t>
        </is>
      </c>
      <c r="B111" t="inlineStr">
        <is>
          <t>Brookline</t>
        </is>
      </c>
      <c r="C111" s="6" t="inlineStr">
        <is>
          <t>https://www.redfin.com/MA/Boston/465-Park-Dr-02215/unit-2/home/9246390</t>
        </is>
      </c>
      <c r="D111" s="7" t="inlineStr">
        <is>
          <t>2026-04-30</t>
        </is>
      </c>
      <c r="E111" s="3" t="n">
        <v>549000</v>
      </c>
      <c r="F111" s="3" t="n">
        <v>487</v>
      </c>
      <c r="G111" t="n">
        <v>1</v>
      </c>
      <c r="H111" t="n">
        <v>1</v>
      </c>
      <c r="I111" s="4" t="n">
        <v>540</v>
      </c>
      <c r="J111" t="inlineStr">
        <is>
          <t>No</t>
        </is>
      </c>
      <c r="K111" t="inlineStr">
        <is>
          <t>0 spaces</t>
        </is>
      </c>
      <c r="L111" s="3">
        <f>Assumptions!B3</f>
        <v/>
      </c>
      <c r="M111" s="3">
        <f>E111-L111</f>
        <v/>
      </c>
      <c r="N111" s="3">
        <f>-PMT(Assumptions!B2/12,Assumptions!B4*12,M111)</f>
        <v/>
      </c>
      <c r="O111" s="3">
        <f>E111*Assumptions!B5/12</f>
        <v/>
      </c>
      <c r="P111" s="3">
        <f>Assumptions!B6</f>
        <v/>
      </c>
      <c r="Q111" s="3">
        <f>Assumptions!B7+Assumptions!B8</f>
        <v/>
      </c>
      <c r="R111" s="3">
        <f>N111+F111+O111+P111+Q111</f>
        <v/>
      </c>
      <c r="S111" s="3" t="n">
        <v>0</v>
      </c>
      <c r="T111" s="3">
        <f>R111-S111*MAX(IFERROR(G111-1,0),0)</f>
        <v/>
      </c>
      <c r="U111" t="n">
        <v>0.9</v>
      </c>
      <c r="V111" t="n">
        <v>12.3</v>
      </c>
      <c r="W111" t="n">
        <v>8.800000000000001</v>
      </c>
      <c r="X111" s="8">
        <f>(IF(E111="",2,IF(E111&lt;=400000,3,IF(E111&gt;=500000,1,2))))*0.1+(IF(OR(G111="",G111=0),2,IF((E111/G111)&lt;=200000,3,IF((E111/G111)&gt;=300000,1,2))))*0.1+(IF(F111="",2,IF(F111&lt;=200,3,IF(F111&gt;=400,1,2))))*0.1+(IF(T111="",2,IF(T111&lt;=2000,3,IF(T111&gt;=3000,1,2))))*0.2+(IF(V111="",2,IF(V111&lt;=15,3,IF(V111&gt;=30,1,2))))*0.15+(IF(W111="",2,IF(W111&lt;=15,3,IF(W111&gt;=25,1,2))))*0.1+(IF(U111="",2,IF(U111&lt;=5,3,IF(U111&gt;=15,1,2))))*0.1+(IF(J111="Yes",3,IF(J111="No",1,2)))*0.05+(IF(OR(K111="",UPPER(TRIM(K111))="UNKNOWN"),2,IF(OR(UPPER(TRIM(K111))="NONE",ISNUMBER(SEARCH("no parking",K111))),1,3)))*0.05+(IF(AND(ISNUMBER(I111),I111&gt;=900),3,IF(AND(ISNUMBER(G111),G111&gt;=2),3,IF(AND(ISNUMBER(I111),I111&gt;=700),2,IF(AND(ISNUMBER(I111),I111&lt;700),1,2)))))*0.05</f>
        <v/>
      </c>
      <c r="Y111">
        <f>IF(X111&gt;=2.3,"Green",IF(X111&gt;=1.7,"Yellow","Red"))</f>
        <v/>
      </c>
    </row>
    <row r="112">
      <c r="A112" s="9" t="inlineStr">
        <is>
          <t>191 Washington St #317, Boston, MA 02135</t>
        </is>
      </c>
      <c r="B112" t="inlineStr">
        <is>
          <t>Brighton</t>
        </is>
      </c>
      <c r="C112" s="6" t="inlineStr">
        <is>
          <t>https://www.redfin.com/MA/Boston/191-Washington-St-02135/unit-317/home/176134081</t>
        </is>
      </c>
      <c r="D112" s="7" t="n"/>
      <c r="E112" s="3" t="n">
        <v>535000</v>
      </c>
      <c r="F112" s="3" t="n">
        <v>457</v>
      </c>
      <c r="G112" t="n">
        <v>1</v>
      </c>
      <c r="H112" t="n">
        <v>1</v>
      </c>
      <c r="I112" s="4" t="n">
        <v>498</v>
      </c>
      <c r="J112" t="inlineStr">
        <is>
          <t>No</t>
        </is>
      </c>
      <c r="K112" t="inlineStr">
        <is>
          <t>0 spaces</t>
        </is>
      </c>
      <c r="L112" s="3">
        <f>Assumptions!B3</f>
        <v/>
      </c>
      <c r="M112" s="3">
        <f>E112-L112</f>
        <v/>
      </c>
      <c r="N112" s="3">
        <f>-PMT(Assumptions!B2/12,Assumptions!B4*12,M112)</f>
        <v/>
      </c>
      <c r="O112" s="3">
        <f>E112*Assumptions!B5/12</f>
        <v/>
      </c>
      <c r="P112" s="3">
        <f>Assumptions!B6</f>
        <v/>
      </c>
      <c r="Q112" s="3">
        <f>Assumptions!B7+Assumptions!B8</f>
        <v/>
      </c>
      <c r="R112" s="3">
        <f>N112+F112+O112+P112+Q112</f>
        <v/>
      </c>
      <c r="S112" s="3" t="n">
        <v>0</v>
      </c>
      <c r="T112" s="3">
        <f>R112-S112*MAX(IFERROR(G112-1,0),0)</f>
        <v/>
      </c>
      <c r="U112" t="n">
        <v>1.3</v>
      </c>
      <c r="V112" t="n">
        <v>13.8</v>
      </c>
      <c r="W112" t="n">
        <v>13.4</v>
      </c>
      <c r="X112" s="8">
        <f>(IF(E112="",2,IF(E112&lt;=400000,3,IF(E112&gt;=500000,1,2))))*0.1+(IF(OR(G112="",G112=0),2,IF((E112/G112)&lt;=200000,3,IF((E112/G112)&gt;=300000,1,2))))*0.1+(IF(F112="",2,IF(F112&lt;=200,3,IF(F112&gt;=400,1,2))))*0.1+(IF(T112="",2,IF(T112&lt;=2000,3,IF(T112&gt;=3000,1,2))))*0.2+(IF(V112="",2,IF(V112&lt;=15,3,IF(V112&gt;=30,1,2))))*0.15+(IF(W112="",2,IF(W112&lt;=15,3,IF(W112&gt;=25,1,2))))*0.1+(IF(U112="",2,IF(U112&lt;=5,3,IF(U112&gt;=15,1,2))))*0.1+(IF(J112="Yes",3,IF(J112="No",1,2)))*0.05+(IF(OR(K112="",UPPER(TRIM(K112))="UNKNOWN"),2,IF(OR(UPPER(TRIM(K112))="NONE",ISNUMBER(SEARCH("no parking",K112))),1,3)))*0.05+(IF(AND(ISNUMBER(I112),I112&gt;=900),3,IF(AND(ISNUMBER(G112),G112&gt;=2),3,IF(AND(ISNUMBER(I112),I112&gt;=700),2,IF(AND(ISNUMBER(I112),I112&lt;700),1,2)))))*0.05</f>
        <v/>
      </c>
      <c r="Y112">
        <f>IF(X112&gt;=2.3,"Green",IF(X112&gt;=1.7,"Yellow","Red"))</f>
        <v/>
      </c>
    </row>
    <row r="113">
      <c r="A113" s="9" t="inlineStr">
        <is>
          <t>51 Park Dr #25, Boston, MA 02215</t>
        </is>
      </c>
      <c r="B113" t="inlineStr">
        <is>
          <t>Brookline</t>
        </is>
      </c>
      <c r="C113" s="6" t="inlineStr">
        <is>
          <t>https://www.redfin.com/MA/Boston/51-Park-Dr-02215/unit-25/home/9273877</t>
        </is>
      </c>
      <c r="D113" s="7" t="n"/>
      <c r="E113" s="3" t="n">
        <v>550000</v>
      </c>
      <c r="F113" s="3" t="n">
        <v>485</v>
      </c>
      <c r="G113" t="n">
        <v>1</v>
      </c>
      <c r="H113" t="n">
        <v>1</v>
      </c>
      <c r="I113" s="4" t="n">
        <v>534</v>
      </c>
      <c r="J113" t="inlineStr">
        <is>
          <t>No</t>
        </is>
      </c>
      <c r="K113" t="inlineStr">
        <is>
          <t>0 spaces</t>
        </is>
      </c>
      <c r="L113" s="3">
        <f>Assumptions!B3</f>
        <v/>
      </c>
      <c r="M113" s="3">
        <f>E113-L113</f>
        <v/>
      </c>
      <c r="N113" s="3">
        <f>-PMT(Assumptions!B2/12,Assumptions!B4*12,M113)</f>
        <v/>
      </c>
      <c r="O113" s="3">
        <f>E113*Assumptions!B5/12</f>
        <v/>
      </c>
      <c r="P113" s="3">
        <f>Assumptions!B6</f>
        <v/>
      </c>
      <c r="Q113" s="3">
        <f>Assumptions!B7+Assumptions!B8</f>
        <v/>
      </c>
      <c r="R113" s="3">
        <f>N113+F113+O113+P113+Q113</f>
        <v/>
      </c>
      <c r="S113" s="3" t="n">
        <v>0</v>
      </c>
      <c r="T113" s="3">
        <f>R113-S113*MAX(IFERROR(G113-1,0),0)</f>
        <v/>
      </c>
      <c r="U113" t="n">
        <v>2</v>
      </c>
      <c r="V113" t="n">
        <v>10.9</v>
      </c>
      <c r="W113" t="n">
        <v>8.699999999999999</v>
      </c>
      <c r="X113" s="8">
        <f>(IF(E113="",2,IF(E113&lt;=400000,3,IF(E113&gt;=500000,1,2))))*0.1+(IF(OR(G113="",G113=0),2,IF((E113/G113)&lt;=200000,3,IF((E113/G113)&gt;=300000,1,2))))*0.1+(IF(F113="",2,IF(F113&lt;=200,3,IF(F113&gt;=400,1,2))))*0.1+(IF(T113="",2,IF(T113&lt;=2000,3,IF(T113&gt;=3000,1,2))))*0.2+(IF(V113="",2,IF(V113&lt;=15,3,IF(V113&gt;=30,1,2))))*0.15+(IF(W113="",2,IF(W113&lt;=15,3,IF(W113&gt;=25,1,2))))*0.1+(IF(U113="",2,IF(U113&lt;=5,3,IF(U113&gt;=15,1,2))))*0.1+(IF(J113="Yes",3,IF(J113="No",1,2)))*0.05+(IF(OR(K113="",UPPER(TRIM(K113))="UNKNOWN"),2,IF(OR(UPPER(TRIM(K113))="NONE",ISNUMBER(SEARCH("no parking",K113))),1,3)))*0.05+(IF(AND(ISNUMBER(I113),I113&gt;=900),3,IF(AND(ISNUMBER(G113),G113&gt;=2),3,IF(AND(ISNUMBER(I113),I113&gt;=700),2,IF(AND(ISNUMBER(I113),I113&lt;700),1,2)))))*0.05</f>
        <v/>
      </c>
      <c r="Y113">
        <f>IF(X113&gt;=2.3,"Green",IF(X113&gt;=1.7,"Yellow","Red"))</f>
        <v/>
      </c>
    </row>
    <row r="114">
      <c r="A114" s="9" t="inlineStr">
        <is>
          <t>189 Chestnut Hill Ave #14, Brighton, MA 02135</t>
        </is>
      </c>
      <c r="B114" t="inlineStr">
        <is>
          <t>Brighton</t>
        </is>
      </c>
      <c r="C114" s="6" t="inlineStr">
        <is>
          <t>https://www.redfin.com/MA/Brighton/189-Chestnut-Hill-Ave-02135/unit-14/home/9036897</t>
        </is>
      </c>
      <c r="D114" s="7" t="inlineStr">
        <is>
          <t>2026-04-09</t>
        </is>
      </c>
      <c r="E114" s="3" t="n">
        <v>349900</v>
      </c>
      <c r="F114" s="3" t="n">
        <v>403</v>
      </c>
      <c r="G114" t="n">
        <v>1</v>
      </c>
      <c r="H114" t="n">
        <v>1</v>
      </c>
      <c r="I114" s="4" t="n">
        <v>395</v>
      </c>
      <c r="J114" t="inlineStr">
        <is>
          <t>No</t>
        </is>
      </c>
      <c r="K114" t="inlineStr">
        <is>
          <t>0 spaces</t>
        </is>
      </c>
      <c r="L114" s="3">
        <f>Assumptions!B3</f>
        <v/>
      </c>
      <c r="M114" s="3">
        <f>E114-L114</f>
        <v/>
      </c>
      <c r="N114" s="3">
        <f>-PMT(Assumptions!B2/12,Assumptions!B4*12,M114)</f>
        <v/>
      </c>
      <c r="O114" s="3">
        <f>E114*Assumptions!B5/12</f>
        <v/>
      </c>
      <c r="P114" s="3">
        <f>Assumptions!B6</f>
        <v/>
      </c>
      <c r="Q114" s="3">
        <f>Assumptions!B7+Assumptions!B8</f>
        <v/>
      </c>
      <c r="R114" s="3">
        <f>N114+F114+O114+P114+Q114</f>
        <v/>
      </c>
      <c r="S114" s="3" t="n">
        <v>0</v>
      </c>
      <c r="T114" s="3">
        <f>R114-S114*MAX(IFERROR(G114-1,0),0)</f>
        <v/>
      </c>
      <c r="U114" t="n">
        <v>2.7</v>
      </c>
      <c r="V114" t="n">
        <v>15.7</v>
      </c>
      <c r="W114" t="n">
        <v>15.4</v>
      </c>
      <c r="X114" s="8">
        <f>(IF(E114="",2,IF(E114&lt;=400000,3,IF(E114&gt;=500000,1,2))))*0.1+(IF(OR(G114="",G114=0),2,IF((E114/G114)&lt;=200000,3,IF((E114/G114)&gt;=300000,1,2))))*0.1+(IF(F114="",2,IF(F114&lt;=200,3,IF(F114&gt;=400,1,2))))*0.1+(IF(T114="",2,IF(T114&lt;=2000,3,IF(T114&gt;=3000,1,2))))*0.2+(IF(V114="",2,IF(V114&lt;=15,3,IF(V114&gt;=30,1,2))))*0.15+(IF(W114="",2,IF(W114&lt;=15,3,IF(W114&gt;=25,1,2))))*0.1+(IF(U114="",2,IF(U114&lt;=5,3,IF(U114&gt;=15,1,2))))*0.1+(IF(J114="Yes",3,IF(J114="No",1,2)))*0.05+(IF(OR(K114="",UPPER(TRIM(K114))="UNKNOWN"),2,IF(OR(UPPER(TRIM(K114))="NONE",ISNUMBER(SEARCH("no parking",K114))),1,3)))*0.05+(IF(AND(ISNUMBER(I114),I114&gt;=900),3,IF(AND(ISNUMBER(G114),G114&gt;=2),3,IF(AND(ISNUMBER(I114),I114&gt;=700),2,IF(AND(ISNUMBER(I114),I114&lt;700),1,2)))))*0.05</f>
        <v/>
      </c>
      <c r="Y114">
        <f>IF(X114&gt;=2.3,"Green",IF(X114&gt;=1.7,"Yellow","Red"))</f>
        <v/>
      </c>
    </row>
    <row r="115">
      <c r="A115" s="9" t="inlineStr">
        <is>
          <t>48 Strathmore Rd #26, Brighton, MA 02135</t>
        </is>
      </c>
      <c r="B115" t="inlineStr">
        <is>
          <t>Brighton</t>
        </is>
      </c>
      <c r="C115" s="6" t="inlineStr">
        <is>
          <t>https://www.redfin.com/MA/Brighton/48-Strathmore-Rd-02135/unit-26/home/9028847</t>
        </is>
      </c>
      <c r="D115" s="7" t="inlineStr">
        <is>
          <t>2026-04-08</t>
        </is>
      </c>
      <c r="E115" s="3" t="n">
        <v>425000</v>
      </c>
      <c r="F115" s="3" t="n">
        <v>473</v>
      </c>
      <c r="G115" t="n">
        <v>1</v>
      </c>
      <c r="H115" t="n">
        <v>1</v>
      </c>
      <c r="I115" s="4" t="n">
        <v>652</v>
      </c>
      <c r="J115" t="inlineStr">
        <is>
          <t>No</t>
        </is>
      </c>
      <c r="K115" t="inlineStr">
        <is>
          <t>0 spaces</t>
        </is>
      </c>
      <c r="L115" s="3">
        <f>Assumptions!B3</f>
        <v/>
      </c>
      <c r="M115" s="3">
        <f>E115-L115</f>
        <v/>
      </c>
      <c r="N115" s="3">
        <f>-PMT(Assumptions!B2/12,Assumptions!B4*12,M115)</f>
        <v/>
      </c>
      <c r="O115" s="3">
        <f>E115*Assumptions!B5/12</f>
        <v/>
      </c>
      <c r="P115" s="3">
        <f>Assumptions!B6</f>
        <v/>
      </c>
      <c r="Q115" s="3">
        <f>Assumptions!B7+Assumptions!B8</f>
        <v/>
      </c>
      <c r="R115" s="3">
        <f>N115+F115+O115+P115+Q115</f>
        <v/>
      </c>
      <c r="S115" s="3" t="n">
        <v>0</v>
      </c>
      <c r="T115" s="3">
        <f>R115-S115*MAX(IFERROR(G115-1,0),0)</f>
        <v/>
      </c>
      <c r="U115" t="n">
        <v>0.3</v>
      </c>
      <c r="V115" t="n">
        <v>16.2</v>
      </c>
      <c r="W115" t="n">
        <v>13.1</v>
      </c>
      <c r="X115" s="8">
        <f>(IF(E115="",2,IF(E115&lt;=400000,3,IF(E115&gt;=500000,1,2))))*0.1+(IF(OR(G115="",G115=0),2,IF((E115/G115)&lt;=200000,3,IF((E115/G115)&gt;=300000,1,2))))*0.1+(IF(F115="",2,IF(F115&lt;=200,3,IF(F115&gt;=400,1,2))))*0.1+(IF(T115="",2,IF(T115&lt;=2000,3,IF(T115&gt;=3000,1,2))))*0.2+(IF(V115="",2,IF(V115&lt;=15,3,IF(V115&gt;=30,1,2))))*0.15+(IF(W115="",2,IF(W115&lt;=15,3,IF(W115&gt;=25,1,2))))*0.1+(IF(U115="",2,IF(U115&lt;=5,3,IF(U115&gt;=15,1,2))))*0.1+(IF(J115="Yes",3,IF(J115="No",1,2)))*0.05+(IF(OR(K115="",UPPER(TRIM(K115))="UNKNOWN"),2,IF(OR(UPPER(TRIM(K115))="NONE",ISNUMBER(SEARCH("no parking",K115))),1,3)))*0.05+(IF(AND(ISNUMBER(I115),I115&gt;=900),3,IF(AND(ISNUMBER(G115),G115&gt;=2),3,IF(AND(ISNUMBER(I115),I115&gt;=700),2,IF(AND(ISNUMBER(I115),I115&lt;700),1,2)))))*0.05</f>
        <v/>
      </c>
      <c r="Y115">
        <f>IF(X115&gt;=2.3,"Green",IF(X115&gt;=1.7,"Yellow","Red"))</f>
        <v/>
      </c>
    </row>
    <row r="116">
      <c r="A116" s="9" t="inlineStr">
        <is>
          <t>1870 Commonwealth Ave #1, Brighton, MA 02135</t>
        </is>
      </c>
      <c r="B116" t="inlineStr">
        <is>
          <t>Brighton</t>
        </is>
      </c>
      <c r="C116" s="6" t="inlineStr">
        <is>
          <t>https://www.redfin.com/MA/Brighton/1870-Commonwealth-Ave-02135/unit-1/home/9027994</t>
        </is>
      </c>
      <c r="D116" s="7" t="inlineStr">
        <is>
          <t>2026-04-09</t>
        </is>
      </c>
      <c r="E116" s="3" t="n">
        <v>499000</v>
      </c>
      <c r="F116" s="3" t="n">
        <v>403</v>
      </c>
      <c r="G116" t="n">
        <v>1</v>
      </c>
      <c r="H116" t="n">
        <v>1</v>
      </c>
      <c r="I116" s="4" t="n">
        <v>580</v>
      </c>
      <c r="J116" t="inlineStr">
        <is>
          <t>No</t>
        </is>
      </c>
      <c r="K116" t="inlineStr">
        <is>
          <t>0 spaces</t>
        </is>
      </c>
      <c r="L116" s="3">
        <f>Assumptions!B3</f>
        <v/>
      </c>
      <c r="M116" s="3">
        <f>E116-L116</f>
        <v/>
      </c>
      <c r="N116" s="3">
        <f>-PMT(Assumptions!B2/12,Assumptions!B4*12,M116)</f>
        <v/>
      </c>
      <c r="O116" s="3">
        <f>E116*Assumptions!B5/12</f>
        <v/>
      </c>
      <c r="P116" s="3">
        <f>Assumptions!B6</f>
        <v/>
      </c>
      <c r="Q116" s="3">
        <f>Assumptions!B7+Assumptions!B8</f>
        <v/>
      </c>
      <c r="R116" s="3">
        <f>N116+F116+O116+P116+Q116</f>
        <v/>
      </c>
      <c r="S116" s="3" t="n">
        <v>0</v>
      </c>
      <c r="T116" s="3">
        <f>R116-S116*MAX(IFERROR(G116-1,0),0)</f>
        <v/>
      </c>
      <c r="U116" t="n">
        <v>1.4</v>
      </c>
      <c r="V116" t="n">
        <v>15.7</v>
      </c>
      <c r="W116" t="n">
        <v>14.1</v>
      </c>
      <c r="X116" s="8">
        <f>(IF(E116="",2,IF(E116&lt;=400000,3,IF(E116&gt;=500000,1,2))))*0.1+(IF(OR(G116="",G116=0),2,IF((E116/G116)&lt;=200000,3,IF((E116/G116)&gt;=300000,1,2))))*0.1+(IF(F116="",2,IF(F116&lt;=200,3,IF(F116&gt;=400,1,2))))*0.1+(IF(T116="",2,IF(T116&lt;=2000,3,IF(T116&gt;=3000,1,2))))*0.2+(IF(V116="",2,IF(V116&lt;=15,3,IF(V116&gt;=30,1,2))))*0.15+(IF(W116="",2,IF(W116&lt;=15,3,IF(W116&gt;=25,1,2))))*0.1+(IF(U116="",2,IF(U116&lt;=5,3,IF(U116&gt;=15,1,2))))*0.1+(IF(J116="Yes",3,IF(J116="No",1,2)))*0.05+(IF(OR(K116="",UPPER(TRIM(K116))="UNKNOWN"),2,IF(OR(UPPER(TRIM(K116))="NONE",ISNUMBER(SEARCH("no parking",K116))),1,3)))*0.05+(IF(AND(ISNUMBER(I116),I116&gt;=900),3,IF(AND(ISNUMBER(G116),G116&gt;=2),3,IF(AND(ISNUMBER(I116),I116&gt;=700),2,IF(AND(ISNUMBER(I116),I116&lt;700),1,2)))))*0.05</f>
        <v/>
      </c>
      <c r="Y116">
        <f>IF(X116&gt;=2.3,"Green",IF(X116&gt;=1.7,"Yellow","Red"))</f>
        <v/>
      </c>
    </row>
    <row r="117">
      <c r="A117" s="9" t="inlineStr">
        <is>
          <t>33 Newbury #1, Somerville, MA 02144</t>
        </is>
      </c>
      <c r="B117" t="inlineStr">
        <is>
          <t>Somerville</t>
        </is>
      </c>
      <c r="C117" s="6" t="inlineStr">
        <is>
          <t>https://www.redfin.com/MA/Somerville/33-Newbury-St-02144/unit-1/home/12389795</t>
        </is>
      </c>
      <c r="D117" s="7" t="inlineStr">
        <is>
          <t>2026-04-09</t>
        </is>
      </c>
      <c r="E117" s="3" t="n">
        <v>489900</v>
      </c>
      <c r="F117" s="3" t="n">
        <v>200</v>
      </c>
      <c r="G117" t="n">
        <v>1</v>
      </c>
      <c r="H117" t="n">
        <v>1</v>
      </c>
      <c r="I117" s="4" t="n">
        <v>637</v>
      </c>
      <c r="J117" t="inlineStr">
        <is>
          <t>No</t>
        </is>
      </c>
      <c r="K117" t="inlineStr">
        <is>
          <t>0 spaces</t>
        </is>
      </c>
      <c r="L117" s="3">
        <f>Assumptions!B3</f>
        <v/>
      </c>
      <c r="M117" s="3">
        <f>E117-L117</f>
        <v/>
      </c>
      <c r="N117" s="3">
        <f>-PMT(Assumptions!B2/12,Assumptions!B4*12,M117)</f>
        <v/>
      </c>
      <c r="O117" s="3">
        <f>E117*Assumptions!B5/12</f>
        <v/>
      </c>
      <c r="P117" s="3">
        <f>Assumptions!B6</f>
        <v/>
      </c>
      <c r="Q117" s="3">
        <f>Assumptions!B7+Assumptions!B8</f>
        <v/>
      </c>
      <c r="R117" s="3">
        <f>N117+F117+O117+P117+Q117</f>
        <v/>
      </c>
      <c r="S117" s="3" t="n">
        <v>0</v>
      </c>
      <c r="T117" s="3">
        <f>R117-S117*MAX(IFERROR(G117-1,0),0)</f>
        <v/>
      </c>
      <c r="X117" s="8">
        <f>(IF(E117="",2,IF(E117&lt;=400000,3,IF(E117&gt;=500000,1,2))))*0.1+(IF(OR(G117="",G117=0),2,IF((E117/G117)&lt;=200000,3,IF((E117/G117)&gt;=300000,1,2))))*0.1+(IF(F117="",2,IF(F117&lt;=200,3,IF(F117&gt;=400,1,2))))*0.1+(IF(T117="",2,IF(T117&lt;=2000,3,IF(T117&gt;=3000,1,2))))*0.2+(IF(V117="",2,IF(V117&lt;=15,3,IF(V117&gt;=30,1,2))))*0.15+(IF(W117="",2,IF(W117&lt;=15,3,IF(W117&gt;=25,1,2))))*0.1+(IF(U117="",2,IF(U117&lt;=5,3,IF(U117&gt;=15,1,2))))*0.1+(IF(J117="Yes",3,IF(J117="No",1,2)))*0.05+(IF(OR(K117="",UPPER(TRIM(K117))="UNKNOWN"),2,IF(OR(UPPER(TRIM(K117))="NONE",ISNUMBER(SEARCH("no parking",K117))),1,3)))*0.05+(IF(AND(ISNUMBER(I117),I117&gt;=900),3,IF(AND(ISNUMBER(G117),G117&gt;=2),3,IF(AND(ISNUMBER(I117),I117&gt;=700),2,IF(AND(ISNUMBER(I117),I117&lt;700),1,2)))))*0.05</f>
        <v/>
      </c>
      <c r="Y117">
        <f>IF(X117&gt;=2.3,"Green",IF(X117&gt;=1.7,"Yellow","Red"))</f>
        <v/>
      </c>
    </row>
    <row r="118">
      <c r="A118" s="9" t="inlineStr">
        <is>
          <t>21 Totman St #302, Quincy, MA 02169</t>
        </is>
      </c>
      <c r="B118" t="inlineStr">
        <is>
          <t>Quincy</t>
        </is>
      </c>
      <c r="C118" s="6" t="inlineStr">
        <is>
          <t>https://www.redfin.com/MA/Quincy/21-Totman-St-02169/unit-302/home/201666904</t>
        </is>
      </c>
      <c r="D118" s="7" t="inlineStr">
        <is>
          <t>2026-05-01</t>
        </is>
      </c>
      <c r="E118" s="3" t="n">
        <v>495000</v>
      </c>
      <c r="F118" s="3" t="n">
        <v>321</v>
      </c>
      <c r="G118" t="n">
        <v>1</v>
      </c>
      <c r="H118" t="n">
        <v>1</v>
      </c>
      <c r="I118" s="4" t="n">
        <v>679</v>
      </c>
      <c r="J118" t="inlineStr">
        <is>
          <t>No</t>
        </is>
      </c>
      <c r="K118" t="inlineStr">
        <is>
          <t>1 space</t>
        </is>
      </c>
      <c r="L118" s="3">
        <f>Assumptions!B3</f>
        <v/>
      </c>
      <c r="M118" s="3">
        <f>E118-L118</f>
        <v/>
      </c>
      <c r="N118" s="3">
        <f>-PMT(Assumptions!B2/12,Assumptions!B4*12,M118)</f>
        <v/>
      </c>
      <c r="O118" s="3">
        <f>E118*Assumptions!B5/12</f>
        <v/>
      </c>
      <c r="P118" s="3">
        <f>Assumptions!B6</f>
        <v/>
      </c>
      <c r="Q118" s="3">
        <f>Assumptions!B7+Assumptions!B8</f>
        <v/>
      </c>
      <c r="R118" s="3">
        <f>N118+F118+O118+P118+Q118</f>
        <v/>
      </c>
      <c r="S118" s="3" t="n">
        <v>0</v>
      </c>
      <c r="T118" s="3">
        <f>R118-S118*MAX(IFERROR(G118-1,0),0)</f>
        <v/>
      </c>
      <c r="U118" t="n">
        <v>2.3</v>
      </c>
      <c r="V118" t="n">
        <v>18.3</v>
      </c>
      <c r="W118" t="n">
        <v>22.4</v>
      </c>
      <c r="X118" s="8">
        <f>(IF(E118="",2,IF(E118&lt;=400000,3,IF(E118&gt;=500000,1,2))))*0.1+(IF(OR(G118="",G118=0),2,IF((E118/G118)&lt;=200000,3,IF((E118/G118)&gt;=300000,1,2))))*0.1+(IF(F118="",2,IF(F118&lt;=200,3,IF(F118&gt;=400,1,2))))*0.1+(IF(T118="",2,IF(T118&lt;=2000,3,IF(T118&gt;=3000,1,2))))*0.2+(IF(V118="",2,IF(V118&lt;=15,3,IF(V118&gt;=30,1,2))))*0.15+(IF(W118="",2,IF(W118&lt;=15,3,IF(W118&gt;=25,1,2))))*0.1+(IF(U118="",2,IF(U118&lt;=5,3,IF(U118&gt;=15,1,2))))*0.1+(IF(J118="Yes",3,IF(J118="No",1,2)))*0.05+(IF(OR(K118="",UPPER(TRIM(K118))="UNKNOWN"),2,IF(OR(UPPER(TRIM(K118))="NONE",ISNUMBER(SEARCH("no parking",K118))),1,3)))*0.05+(IF(AND(ISNUMBER(I118),I118&gt;=900),3,IF(AND(ISNUMBER(G118),G118&gt;=2),3,IF(AND(ISNUMBER(I118),I118&gt;=700),2,IF(AND(ISNUMBER(I118),I118&lt;700),1,2)))))*0.05</f>
        <v/>
      </c>
      <c r="Y118">
        <f>IF(X118&gt;=2.3,"Green",IF(X118&gt;=1.7,"Yellow","Red"))</f>
        <v/>
      </c>
    </row>
    <row r="119">
      <c r="A119" s="9" t="inlineStr">
        <is>
          <t>181 Robbins St #4, Waltham, MA 02453</t>
        </is>
      </c>
      <c r="B119" t="inlineStr">
        <is>
          <t>Waltham</t>
        </is>
      </c>
      <c r="C119" s="6" t="inlineStr">
        <is>
          <t>https://www.redfin.com/MA/Waltham/181-Robbins-St-02453/unit-4/home/184414572</t>
        </is>
      </c>
      <c r="D119" s="7" t="inlineStr">
        <is>
          <t>2026-04-29</t>
        </is>
      </c>
      <c r="E119" s="3" t="n">
        <v>599900</v>
      </c>
      <c r="F119" s="3" t="n">
        <v>225</v>
      </c>
      <c r="G119" t="n">
        <v>2</v>
      </c>
      <c r="H119" t="n">
        <v>1</v>
      </c>
      <c r="I119" s="4" t="n">
        <v>890</v>
      </c>
      <c r="J119" t="inlineStr">
        <is>
          <t>No</t>
        </is>
      </c>
      <c r="K119" t="inlineStr">
        <is>
          <t>2 spaces</t>
        </is>
      </c>
      <c r="L119" s="3">
        <f>Assumptions!B3</f>
        <v/>
      </c>
      <c r="M119" s="3">
        <f>E119-L119</f>
        <v/>
      </c>
      <c r="N119" s="3">
        <f>-PMT(Assumptions!B2/12,Assumptions!B4*12,M119)</f>
        <v/>
      </c>
      <c r="O119" s="3">
        <f>E119*Assumptions!B5/12</f>
        <v/>
      </c>
      <c r="P119" s="3">
        <f>Assumptions!B6</f>
        <v/>
      </c>
      <c r="Q119" s="3">
        <f>Assumptions!B7+Assumptions!B8</f>
        <v/>
      </c>
      <c r="R119" s="3">
        <f>N119+F119+O119+P119+Q119</f>
        <v/>
      </c>
      <c r="S119" s="3" t="n">
        <v>1235</v>
      </c>
      <c r="T119" s="3">
        <f>R119-S119*MAX(IFERROR(G119-1,0),0)</f>
        <v/>
      </c>
      <c r="U119" t="n">
        <v>6.7</v>
      </c>
      <c r="V119" t="n">
        <v>20</v>
      </c>
      <c r="W119" t="n">
        <v>20.6</v>
      </c>
      <c r="X119" s="8">
        <f>(IF(E119="",2,IF(E119&lt;=400000,3,IF(E119&gt;=500000,1,2))))*0.1+(IF(OR(G119="",G119=0),2,IF((E119/G119)&lt;=200000,3,IF((E119/G119)&gt;=300000,1,2))))*0.1+(IF(F119="",2,IF(F119&lt;=200,3,IF(F119&gt;=400,1,2))))*0.1+(IF(T119="",2,IF(T119&lt;=2000,3,IF(T119&gt;=3000,1,2))))*0.2+(IF(V119="",2,IF(V119&lt;=15,3,IF(V119&gt;=30,1,2))))*0.15+(IF(W119="",2,IF(W119&lt;=15,3,IF(W119&gt;=25,1,2))))*0.1+(IF(U119="",2,IF(U119&lt;=5,3,IF(U119&gt;=15,1,2))))*0.1+(IF(J119="Yes",3,IF(J119="No",1,2)))*0.05+(IF(OR(K119="",UPPER(TRIM(K119))="UNKNOWN"),2,IF(OR(UPPER(TRIM(K119))="NONE",ISNUMBER(SEARCH("no parking",K119))),1,3)))*0.05+(IF(AND(ISNUMBER(I119),I119&gt;=900),3,IF(AND(ISNUMBER(G119),G119&gt;=2),3,IF(AND(ISNUMBER(I119),I119&gt;=700),2,IF(AND(ISNUMBER(I119),I119&lt;700),1,2)))))*0.05</f>
        <v/>
      </c>
      <c r="Y119">
        <f>IF(X119&gt;=2.3,"Green",IF(X119&gt;=1.7,"Yellow","Red"))</f>
        <v/>
      </c>
    </row>
    <row r="120">
      <c r="A120" s="9" t="inlineStr">
        <is>
          <t>49 Grove St #2, Auburndale, MA 02466</t>
        </is>
      </c>
      <c r="B120" t="inlineStr">
        <is>
          <t>Newton</t>
        </is>
      </c>
      <c r="C120" s="6" t="inlineStr">
        <is>
          <t>https://www.redfin.com/MA/Auburndale/49-Grove-St-02466/unit-2/home/11495701</t>
        </is>
      </c>
      <c r="D120" s="7" t="inlineStr">
        <is>
          <t>2026-04-30</t>
        </is>
      </c>
      <c r="E120" s="3" t="n">
        <v>475000</v>
      </c>
      <c r="F120" s="3" t="n">
        <v>253</v>
      </c>
      <c r="G120" t="n">
        <v>1</v>
      </c>
      <c r="H120" t="n">
        <v>1</v>
      </c>
      <c r="I120" s="4" t="n">
        <v>574</v>
      </c>
      <c r="J120" t="inlineStr">
        <is>
          <t>No</t>
        </is>
      </c>
      <c r="K120" t="inlineStr">
        <is>
          <t>1 space</t>
        </is>
      </c>
      <c r="L120" s="3">
        <f>Assumptions!B3</f>
        <v/>
      </c>
      <c r="M120" s="3">
        <f>E120-L120</f>
        <v/>
      </c>
      <c r="N120" s="3">
        <f>-PMT(Assumptions!B2/12,Assumptions!B4*12,M120)</f>
        <v/>
      </c>
      <c r="O120" s="3">
        <f>E120*Assumptions!B5/12</f>
        <v/>
      </c>
      <c r="P120" s="3">
        <f>Assumptions!B6</f>
        <v/>
      </c>
      <c r="Q120" s="3">
        <f>Assumptions!B7+Assumptions!B8</f>
        <v/>
      </c>
      <c r="R120" s="3">
        <f>N120+F120+O120+P120+Q120</f>
        <v/>
      </c>
      <c r="S120" s="3" t="n">
        <v>0</v>
      </c>
      <c r="T120" s="3">
        <f>R120-S120*MAX(IFERROR(G120-1,0),0)</f>
        <v/>
      </c>
      <c r="U120" t="n">
        <v>3.3</v>
      </c>
      <c r="V120" t="n">
        <v>18.6</v>
      </c>
      <c r="W120" t="n">
        <v>19.2</v>
      </c>
      <c r="X120" s="8">
        <f>(IF(E120="",2,IF(E120&lt;=400000,3,IF(E120&gt;=500000,1,2))))*0.1+(IF(OR(G120="",G120=0),2,IF((E120/G120)&lt;=200000,3,IF((E120/G120)&gt;=300000,1,2))))*0.1+(IF(F120="",2,IF(F120&lt;=200,3,IF(F120&gt;=400,1,2))))*0.1+(IF(T120="",2,IF(T120&lt;=2000,3,IF(T120&gt;=3000,1,2))))*0.2+(IF(V120="",2,IF(V120&lt;=15,3,IF(V120&gt;=30,1,2))))*0.15+(IF(W120="",2,IF(W120&lt;=15,3,IF(W120&gt;=25,1,2))))*0.1+(IF(U120="",2,IF(U120&lt;=5,3,IF(U120&gt;=15,1,2))))*0.1+(IF(J120="Yes",3,IF(J120="No",1,2)))*0.05+(IF(OR(K120="",UPPER(TRIM(K120))="UNKNOWN"),2,IF(OR(UPPER(TRIM(K120))="NONE",ISNUMBER(SEARCH("no parking",K120))),1,3)))*0.05+(IF(AND(ISNUMBER(I120),I120&gt;=900),3,IF(AND(ISNUMBER(G120),G120&gt;=2),3,IF(AND(ISNUMBER(I120),I120&gt;=700),2,IF(AND(ISNUMBER(I120),I120&lt;700),1,2)))))*0.05</f>
        <v/>
      </c>
      <c r="Y120">
        <f>IF(X120&gt;=2.3,"Green",IF(X120&gt;=1.7,"Yellow","Red"))</f>
        <v/>
      </c>
    </row>
    <row r="121">
      <c r="A121" s="9" t="inlineStr">
        <is>
          <t>99 Pleasant St Unit A4, Watertown, MA 02472</t>
        </is>
      </c>
      <c r="B121" t="inlineStr">
        <is>
          <t>Watertown</t>
        </is>
      </c>
      <c r="C121" s="6" t="inlineStr">
        <is>
          <t>https://www.redfin.com/MA/Watertown/99-Pleasant-St-02472/unit-A4/home/11683908</t>
        </is>
      </c>
      <c r="D121" s="7" t="inlineStr">
        <is>
          <t>2026-05-06</t>
        </is>
      </c>
      <c r="E121" s="3" t="n">
        <v>349000</v>
      </c>
      <c r="F121" s="3" t="n">
        <v>375</v>
      </c>
      <c r="G121" t="n">
        <v>1</v>
      </c>
      <c r="H121" t="n">
        <v>1</v>
      </c>
      <c r="I121" s="4" t="n">
        <v>560</v>
      </c>
      <c r="J121" t="inlineStr">
        <is>
          <t>No</t>
        </is>
      </c>
      <c r="K121" t="inlineStr">
        <is>
          <t>1 space</t>
        </is>
      </c>
      <c r="L121" s="3">
        <f>Assumptions!B3</f>
        <v/>
      </c>
      <c r="M121" s="3">
        <f>E121-L121</f>
        <v/>
      </c>
      <c r="N121" s="3">
        <f>-PMT(Assumptions!B2/12,Assumptions!B4*12,M121)</f>
        <v/>
      </c>
      <c r="O121" s="3">
        <f>E121*Assumptions!B5/12</f>
        <v/>
      </c>
      <c r="P121" s="3">
        <f>Assumptions!B6</f>
        <v/>
      </c>
      <c r="Q121" s="3">
        <f>Assumptions!B7+Assumptions!B8</f>
        <v/>
      </c>
      <c r="R121" s="3">
        <f>N121+F121+O121+P121+Q121</f>
        <v/>
      </c>
      <c r="S121" s="3" t="n">
        <v>0</v>
      </c>
      <c r="T121" s="3">
        <f>R121-S121*MAX(IFERROR(G121-1,0),0)</f>
        <v/>
      </c>
      <c r="U121" t="n">
        <v>9.699999999999999</v>
      </c>
      <c r="V121" t="n">
        <v>16.1</v>
      </c>
      <c r="W121" t="n">
        <v>16.6</v>
      </c>
      <c r="X121" s="8">
        <f>(IF(E121="",2,IF(E121&lt;=400000,3,IF(E121&gt;=500000,1,2))))*0.1+(IF(OR(G121="",G121=0),2,IF((E121/G121)&lt;=200000,3,IF((E121/G121)&gt;=300000,1,2))))*0.1+(IF(F121="",2,IF(F121&lt;=200,3,IF(F121&gt;=400,1,2))))*0.1+(IF(T121="",2,IF(T121&lt;=2000,3,IF(T121&gt;=3000,1,2))))*0.2+(IF(V121="",2,IF(V121&lt;=15,3,IF(V121&gt;=30,1,2))))*0.15+(IF(W121="",2,IF(W121&lt;=15,3,IF(W121&gt;=25,1,2))))*0.1+(IF(U121="",2,IF(U121&lt;=5,3,IF(U121&gt;=15,1,2))))*0.1+(IF(J121="Yes",3,IF(J121="No",1,2)))*0.05+(IF(OR(K121="",UPPER(TRIM(K121))="UNKNOWN"),2,IF(OR(UPPER(TRIM(K121))="NONE",ISNUMBER(SEARCH("no parking",K121))),1,3)))*0.05+(IF(AND(ISNUMBER(I121),I121&gt;=900),3,IF(AND(ISNUMBER(G121),G121&gt;=2),3,IF(AND(ISNUMBER(I121),I121&gt;=700),2,IF(AND(ISNUMBER(I121),I121&lt;700),1,2)))))*0.05</f>
        <v/>
      </c>
      <c r="Y121">
        <f>IF(X121&gt;=2.3,"Green",IF(X121&gt;=1.7,"Yellow","Red"))</f>
        <v/>
      </c>
    </row>
    <row r="122">
      <c r="A122" s="9" t="inlineStr">
        <is>
          <t>71 Oxford Ave Unit A, Cambridge, MA 02138</t>
        </is>
      </c>
      <c r="B122" t="inlineStr">
        <is>
          <t>Watertown</t>
        </is>
      </c>
      <c r="C122" s="6" t="inlineStr">
        <is>
          <t>https://www.redfin.com/MA/Cambridge/71-Oxford-Ave-02138/unit-A/home/11604279</t>
        </is>
      </c>
      <c r="D122" s="7" t="inlineStr">
        <is>
          <t>2026-05-05</t>
        </is>
      </c>
      <c r="E122" s="3" t="n">
        <v>595000</v>
      </c>
      <c r="F122" s="3" t="n">
        <v>459</v>
      </c>
      <c r="G122" t="n">
        <v>2</v>
      </c>
      <c r="H122" t="n">
        <v>1</v>
      </c>
      <c r="I122" s="4" t="n">
        <v>797</v>
      </c>
      <c r="J122" t="inlineStr">
        <is>
          <t>No</t>
        </is>
      </c>
      <c r="K122" t="inlineStr">
        <is>
          <t>1 space</t>
        </is>
      </c>
      <c r="L122" s="3">
        <f>Assumptions!B3</f>
        <v/>
      </c>
      <c r="M122" s="3">
        <f>E122-L122</f>
        <v/>
      </c>
      <c r="N122" s="3">
        <f>-PMT(Assumptions!B2/12,Assumptions!B4*12,M122)</f>
        <v/>
      </c>
      <c r="O122" s="3">
        <f>E122*Assumptions!B5/12</f>
        <v/>
      </c>
      <c r="P122" s="3">
        <f>Assumptions!B6</f>
        <v/>
      </c>
      <c r="Q122" s="3">
        <f>Assumptions!B7+Assumptions!B8</f>
        <v/>
      </c>
      <c r="R122" s="3">
        <f>N122+F122+O122+P122+Q122</f>
        <v/>
      </c>
      <c r="S122" s="3" t="n">
        <v>1365</v>
      </c>
      <c r="T122" s="3">
        <f>R122-S122*MAX(IFERROR(G122-1,0),0)</f>
        <v/>
      </c>
      <c r="U122" t="n">
        <v>6.3</v>
      </c>
      <c r="V122" t="n">
        <v>15.5</v>
      </c>
      <c r="W122" t="n">
        <v>13.2</v>
      </c>
      <c r="X122" s="8">
        <f>(IF(E122="",2,IF(E122&lt;=400000,3,IF(E122&gt;=500000,1,2))))*0.1+(IF(OR(G122="",G122=0),2,IF((E122/G122)&lt;=200000,3,IF((E122/G122)&gt;=300000,1,2))))*0.1+(IF(F122="",2,IF(F122&lt;=200,3,IF(F122&gt;=400,1,2))))*0.1+(IF(T122="",2,IF(T122&lt;=2000,3,IF(T122&gt;=3000,1,2))))*0.2+(IF(V122="",2,IF(V122&lt;=15,3,IF(V122&gt;=30,1,2))))*0.15+(IF(W122="",2,IF(W122&lt;=15,3,IF(W122&gt;=25,1,2))))*0.1+(IF(U122="",2,IF(U122&lt;=5,3,IF(U122&gt;=15,1,2))))*0.1+(IF(J122="Yes",3,IF(J122="No",1,2)))*0.05+(IF(OR(K122="",UPPER(TRIM(K122))="UNKNOWN"),2,IF(OR(UPPER(TRIM(K122))="NONE",ISNUMBER(SEARCH("no parking",K122))),1,3)))*0.05+(IF(AND(ISNUMBER(I122),I122&gt;=900),3,IF(AND(ISNUMBER(G122),G122&gt;=2),3,IF(AND(ISNUMBER(I122),I122&gt;=700),2,IF(AND(ISNUMBER(I122),I122&lt;700),1,2)))))*0.05</f>
        <v/>
      </c>
      <c r="Y122">
        <f>IF(X122&gt;=2.3,"Green",IF(X122&gt;=1.7,"Yellow","Red"))</f>
        <v/>
      </c>
    </row>
    <row r="123">
      <c r="A123" s="9" t="inlineStr">
        <is>
          <t>2001 Commonwealth Ave #34, Brighton, MA 02135</t>
        </is>
      </c>
      <c r="B123" t="inlineStr">
        <is>
          <t>Brighton</t>
        </is>
      </c>
      <c r="C123" s="6" t="inlineStr">
        <is>
          <t>https://www.redfin.com/MA/Brighton/2001-Commonwealth-Ave-02135/unit-34/home/9037723</t>
        </is>
      </c>
      <c r="D123" s="7" t="inlineStr">
        <is>
          <t>2026-04-29</t>
        </is>
      </c>
      <c r="E123" s="3" t="n">
        <v>539900</v>
      </c>
      <c r="F123" s="3" t="n">
        <v>473</v>
      </c>
      <c r="G123" t="n">
        <v>2</v>
      </c>
      <c r="H123" t="n">
        <v>1</v>
      </c>
      <c r="I123" s="4" t="n">
        <v>773</v>
      </c>
      <c r="J123" t="inlineStr">
        <is>
          <t>No</t>
        </is>
      </c>
      <c r="K123" t="inlineStr">
        <is>
          <t>0 spaces</t>
        </is>
      </c>
      <c r="L123" s="3">
        <f>Assumptions!B3</f>
        <v/>
      </c>
      <c r="M123" s="3">
        <f>E123-L123</f>
        <v/>
      </c>
      <c r="N123" s="3">
        <f>-PMT(Assumptions!B2/12,Assumptions!B4*12,M123)</f>
        <v/>
      </c>
      <c r="O123" s="3">
        <f>E123*Assumptions!B5/12</f>
        <v/>
      </c>
      <c r="P123" s="3">
        <f>Assumptions!B6</f>
        <v/>
      </c>
      <c r="Q123" s="3">
        <f>Assumptions!B7+Assumptions!B8</f>
        <v/>
      </c>
      <c r="R123" s="3">
        <f>N123+F123+O123+P123+Q123</f>
        <v/>
      </c>
      <c r="S123" s="3" t="n">
        <v>1300</v>
      </c>
      <c r="T123" s="3">
        <f>R123-S123*MAX(IFERROR(G123-1,0),0)</f>
        <v/>
      </c>
      <c r="U123" t="n">
        <v>1.6</v>
      </c>
      <c r="V123" t="n">
        <v>16.4</v>
      </c>
      <c r="W123" t="n">
        <v>15.7</v>
      </c>
      <c r="X123" s="8">
        <f>(IF(E123="",2,IF(E123&lt;=400000,3,IF(E123&gt;=500000,1,2))))*0.1+(IF(OR(G123="",G123=0),2,IF((E123/G123)&lt;=200000,3,IF((E123/G123)&gt;=300000,1,2))))*0.1+(IF(F123="",2,IF(F123&lt;=200,3,IF(F123&gt;=400,1,2))))*0.1+(IF(T123="",2,IF(T123&lt;=2000,3,IF(T123&gt;=3000,1,2))))*0.2+(IF(V123="",2,IF(V123&lt;=15,3,IF(V123&gt;=30,1,2))))*0.15+(IF(W123="",2,IF(W123&lt;=15,3,IF(W123&gt;=25,1,2))))*0.1+(IF(U123="",2,IF(U123&lt;=5,3,IF(U123&gt;=15,1,2))))*0.1+(IF(J123="Yes",3,IF(J123="No",1,2)))*0.05+(IF(OR(K123="",UPPER(TRIM(K123))="UNKNOWN"),2,IF(OR(UPPER(TRIM(K123))="NONE",ISNUMBER(SEARCH("no parking",K123))),1,3)))*0.05+(IF(AND(ISNUMBER(I123),I123&gt;=900),3,IF(AND(ISNUMBER(G123),G123&gt;=2),3,IF(AND(ISNUMBER(I123),I123&gt;=700),2,IF(AND(ISNUMBER(I123),I123&lt;700),1,2)))))*0.05</f>
        <v/>
      </c>
      <c r="Y123">
        <f>IF(X123&gt;=2.3,"Green",IF(X123&gt;=1.7,"Yellow","Red"))</f>
        <v/>
      </c>
    </row>
    <row r="124">
      <c r="A124" s="9" t="inlineStr">
        <is>
          <t>25 South St #4, Brighton, MA 02135</t>
        </is>
      </c>
      <c r="B124" t="inlineStr">
        <is>
          <t>Brighton</t>
        </is>
      </c>
      <c r="C124" s="6" t="inlineStr">
        <is>
          <t>https://www.redfin.com/MA/Brighton/25-South-St-02135/unit-4/home/9037254</t>
        </is>
      </c>
      <c r="D124" s="7" t="inlineStr">
        <is>
          <t>2026-04-22</t>
        </is>
      </c>
      <c r="E124" s="3" t="n">
        <v>575000</v>
      </c>
      <c r="F124" s="3" t="n">
        <v>478</v>
      </c>
      <c r="G124" t="n">
        <v>1</v>
      </c>
      <c r="H124" t="n">
        <v>1</v>
      </c>
      <c r="I124" s="4" t="n">
        <v>980</v>
      </c>
      <c r="J124" t="inlineStr">
        <is>
          <t>No</t>
        </is>
      </c>
      <c r="K124" t="inlineStr">
        <is>
          <t>0 spaces</t>
        </is>
      </c>
      <c r="L124" s="3">
        <f>Assumptions!B3</f>
        <v/>
      </c>
      <c r="M124" s="3">
        <f>E124-L124</f>
        <v/>
      </c>
      <c r="N124" s="3">
        <f>-PMT(Assumptions!B2/12,Assumptions!B4*12,M124)</f>
        <v/>
      </c>
      <c r="O124" s="3">
        <f>E124*Assumptions!B5/12</f>
        <v/>
      </c>
      <c r="P124" s="3">
        <f>Assumptions!B6</f>
        <v/>
      </c>
      <c r="Q124" s="3">
        <f>Assumptions!B7+Assumptions!B8</f>
        <v/>
      </c>
      <c r="R124" s="3">
        <f>N124+F124+O124+P124+Q124</f>
        <v/>
      </c>
      <c r="S124" s="3" t="n">
        <v>0</v>
      </c>
      <c r="T124" s="3">
        <f>R124-S124*MAX(IFERROR(G124-1,0),0)</f>
        <v/>
      </c>
      <c r="U124" t="n">
        <v>0.1</v>
      </c>
      <c r="V124" t="n">
        <v>16.7</v>
      </c>
      <c r="W124" t="n">
        <v>15</v>
      </c>
      <c r="X124" s="8">
        <f>(IF(E124="",2,IF(E124&lt;=400000,3,IF(E124&gt;=500000,1,2))))*0.1+(IF(OR(G124="",G124=0),2,IF((E124/G124)&lt;=200000,3,IF((E124/G124)&gt;=300000,1,2))))*0.1+(IF(F124="",2,IF(F124&lt;=200,3,IF(F124&gt;=400,1,2))))*0.1+(IF(T124="",2,IF(T124&lt;=2000,3,IF(T124&gt;=3000,1,2))))*0.2+(IF(V124="",2,IF(V124&lt;=15,3,IF(V124&gt;=30,1,2))))*0.15+(IF(W124="",2,IF(W124&lt;=15,3,IF(W124&gt;=25,1,2))))*0.1+(IF(U124="",2,IF(U124&lt;=5,3,IF(U124&gt;=15,1,2))))*0.1+(IF(J124="Yes",3,IF(J124="No",1,2)))*0.05+(IF(OR(K124="",UPPER(TRIM(K124))="UNKNOWN"),2,IF(OR(UPPER(TRIM(K124))="NONE",ISNUMBER(SEARCH("no parking",K124))),1,3)))*0.05+(IF(AND(ISNUMBER(I124),I124&gt;=900),3,IF(AND(ISNUMBER(G124),G124&gt;=2),3,IF(AND(ISNUMBER(I124),I124&gt;=700),2,IF(AND(ISNUMBER(I124),I124&lt;700),1,2)))))*0.05</f>
        <v/>
      </c>
      <c r="Y124">
        <f>IF(X124&gt;=2.3,"Green",IF(X124&gt;=1.7,"Yellow","Red"))</f>
        <v/>
      </c>
    </row>
    <row r="125">
      <c r="A125" s="9" t="inlineStr">
        <is>
          <t>2001 Commonwealth Ave #4, Brighton, MA 02135</t>
        </is>
      </c>
      <c r="B125" t="inlineStr">
        <is>
          <t>Brighton</t>
        </is>
      </c>
      <c r="C125" s="6" t="inlineStr">
        <is>
          <t>https://www.redfin.com/MA/Brighton/2001-Commonwealth-Ave-02135/unit-4/home/9037601</t>
        </is>
      </c>
      <c r="D125" s="7" t="inlineStr">
        <is>
          <t>2026-04-22</t>
        </is>
      </c>
      <c r="E125" s="3" t="n">
        <v>519000</v>
      </c>
      <c r="F125" s="3" t="n">
        <v>438</v>
      </c>
      <c r="G125" t="n">
        <v>2</v>
      </c>
      <c r="H125" t="n">
        <v>1</v>
      </c>
      <c r="I125" s="4" t="n">
        <v>773</v>
      </c>
      <c r="J125" t="inlineStr">
        <is>
          <t>No</t>
        </is>
      </c>
      <c r="K125" t="inlineStr">
        <is>
          <t>0 spaces</t>
        </is>
      </c>
      <c r="L125" s="3">
        <f>Assumptions!B3</f>
        <v/>
      </c>
      <c r="M125" s="3">
        <f>E125-L125</f>
        <v/>
      </c>
      <c r="N125" s="3">
        <f>-PMT(Assumptions!B2/12,Assumptions!B4*12,M125)</f>
        <v/>
      </c>
      <c r="O125" s="3">
        <f>E125*Assumptions!B5/12</f>
        <v/>
      </c>
      <c r="P125" s="3">
        <f>Assumptions!B6</f>
        <v/>
      </c>
      <c r="Q125" s="3">
        <f>Assumptions!B7+Assumptions!B8</f>
        <v/>
      </c>
      <c r="R125" s="3">
        <f>N125+F125+O125+P125+Q125</f>
        <v/>
      </c>
      <c r="S125" s="3" t="n">
        <v>1300</v>
      </c>
      <c r="T125" s="3">
        <f>R125-S125*MAX(IFERROR(G125-1,0),0)</f>
        <v/>
      </c>
      <c r="U125" t="n">
        <v>1.6</v>
      </c>
      <c r="V125" t="n">
        <v>16.4</v>
      </c>
      <c r="W125" t="n">
        <v>15.7</v>
      </c>
      <c r="X125" s="8">
        <f>(IF(E125="",2,IF(E125&lt;=400000,3,IF(E125&gt;=500000,1,2))))*0.1+(IF(OR(G125="",G125=0),2,IF((E125/G125)&lt;=200000,3,IF((E125/G125)&gt;=300000,1,2))))*0.1+(IF(F125="",2,IF(F125&lt;=200,3,IF(F125&gt;=400,1,2))))*0.1+(IF(T125="",2,IF(T125&lt;=2000,3,IF(T125&gt;=3000,1,2))))*0.2+(IF(V125="",2,IF(V125&lt;=15,3,IF(V125&gt;=30,1,2))))*0.15+(IF(W125="",2,IF(W125&lt;=15,3,IF(W125&gt;=25,1,2))))*0.1+(IF(U125="",2,IF(U125&lt;=5,3,IF(U125&gt;=15,1,2))))*0.1+(IF(J125="Yes",3,IF(J125="No",1,2)))*0.05+(IF(OR(K125="",UPPER(TRIM(K125))="UNKNOWN"),2,IF(OR(UPPER(TRIM(K125))="NONE",ISNUMBER(SEARCH("no parking",K125))),1,3)))*0.05+(IF(AND(ISNUMBER(I125),I125&gt;=900),3,IF(AND(ISNUMBER(G125),G125&gt;=2),3,IF(AND(ISNUMBER(I125),I125&gt;=700),2,IF(AND(ISNUMBER(I125),I125&lt;700),1,2)))))*0.05</f>
        <v/>
      </c>
      <c r="Y125">
        <f>IF(X125&gt;=2.3,"Green",IF(X125&gt;=1.7,"Yellow","Red"))</f>
        <v/>
      </c>
    </row>
    <row r="126">
      <c r="A126" s="9" t="inlineStr">
        <is>
          <t>585 Washington St #202, Quincy, MA 02169</t>
        </is>
      </c>
      <c r="B126" t="inlineStr">
        <is>
          <t>Quincy</t>
        </is>
      </c>
      <c r="C126" s="6" t="inlineStr">
        <is>
          <t>https://www.redfin.com/MA/Quincy/585-Washington-St-02169/unit-202/home/200582027</t>
        </is>
      </c>
      <c r="D126" s="7" t="n"/>
      <c r="E126" s="3" t="n">
        <v>600000</v>
      </c>
      <c r="F126" s="3" t="n">
        <v>250</v>
      </c>
      <c r="G126" t="n">
        <v>2</v>
      </c>
      <c r="H126" t="n">
        <v>2</v>
      </c>
      <c r="I126" s="4" t="n">
        <v>1203</v>
      </c>
      <c r="J126" t="inlineStr">
        <is>
          <t>No</t>
        </is>
      </c>
      <c r="K126" t="inlineStr">
        <is>
          <t>1 space</t>
        </is>
      </c>
      <c r="L126" s="3">
        <f>Assumptions!B3</f>
        <v/>
      </c>
      <c r="M126" s="3">
        <f>E126-L126</f>
        <v/>
      </c>
      <c r="N126" s="3">
        <f>-PMT(Assumptions!B2/12,Assumptions!B4*12,M126)</f>
        <v/>
      </c>
      <c r="O126" s="3">
        <f>E126*Assumptions!B5/12</f>
        <v/>
      </c>
      <c r="P126" s="3">
        <f>Assumptions!B6</f>
        <v/>
      </c>
      <c r="Q126" s="3">
        <f>Assumptions!B7+Assumptions!B8</f>
        <v/>
      </c>
      <c r="R126" s="3">
        <f>N126+F126+O126+P126+Q126</f>
        <v/>
      </c>
      <c r="S126" s="3" t="n">
        <v>1170</v>
      </c>
      <c r="T126" s="3">
        <f>R126-S126*MAX(IFERROR(G126-1,0),0)</f>
        <v/>
      </c>
      <c r="U126" t="n">
        <v>3.5</v>
      </c>
      <c r="V126" t="n">
        <v>19.7</v>
      </c>
      <c r="W126" t="n">
        <v>23.7</v>
      </c>
      <c r="X126" s="8">
        <f>(IF(E126="",2,IF(E126&lt;=400000,3,IF(E126&gt;=500000,1,2))))*0.1+(IF(OR(G126="",G126=0),2,IF((E126/G126)&lt;=200000,3,IF((E126/G126)&gt;=300000,1,2))))*0.1+(IF(F126="",2,IF(F126&lt;=200,3,IF(F126&gt;=400,1,2))))*0.1+(IF(T126="",2,IF(T126&lt;=2000,3,IF(T126&gt;=3000,1,2))))*0.2+(IF(V126="",2,IF(V126&lt;=15,3,IF(V126&gt;=30,1,2))))*0.15+(IF(W126="",2,IF(W126&lt;=15,3,IF(W126&gt;=25,1,2))))*0.1+(IF(U126="",2,IF(U126&lt;=5,3,IF(U126&gt;=15,1,2))))*0.1+(IF(J126="Yes",3,IF(J126="No",1,2)))*0.05+(IF(OR(K126="",UPPER(TRIM(K126))="UNKNOWN"),2,IF(OR(UPPER(TRIM(K126))="NONE",ISNUMBER(SEARCH("no parking",K126))),1,3)))*0.05+(IF(AND(ISNUMBER(I126),I126&gt;=900),3,IF(AND(ISNUMBER(G126),G126&gt;=2),3,IF(AND(ISNUMBER(I126),I126&gt;=700),2,IF(AND(ISNUMBER(I126),I126&lt;700),1,2)))))*0.05</f>
        <v/>
      </c>
      <c r="Y126">
        <f>IF(X126&gt;=2.3,"Green",IF(X126&gt;=1.7,"Yellow","Red"))</f>
        <v/>
      </c>
    </row>
    <row r="127">
      <c r="A127" s="9" t="inlineStr">
        <is>
          <t>15 Colliston Rd #6, Brighton, MA 02135</t>
        </is>
      </c>
      <c r="B127" t="inlineStr">
        <is>
          <t>Brighton</t>
        </is>
      </c>
      <c r="C127" s="6" t="inlineStr">
        <is>
          <t>https://www.redfin.com/MA/Brighton/15-Colliston-Rd-02135/unit-6/home/9004520</t>
        </is>
      </c>
      <c r="D127" s="7" t="n"/>
      <c r="E127" s="3" t="n">
        <v>450000</v>
      </c>
      <c r="F127" s="3" t="n">
        <v>425</v>
      </c>
      <c r="G127" t="n">
        <v>1</v>
      </c>
      <c r="H127" t="n">
        <v>1</v>
      </c>
      <c r="I127" s="4" t="n">
        <v>577</v>
      </c>
      <c r="J127" t="inlineStr">
        <is>
          <t>No</t>
        </is>
      </c>
      <c r="K127" t="inlineStr">
        <is>
          <t>0 spaces</t>
        </is>
      </c>
      <c r="L127" s="3">
        <f>Assumptions!B3</f>
        <v/>
      </c>
      <c r="M127" s="3">
        <f>E127-L127</f>
        <v/>
      </c>
      <c r="N127" s="3">
        <f>-PMT(Assumptions!B2/12,Assumptions!B4*12,M127)</f>
        <v/>
      </c>
      <c r="O127" s="3">
        <f>E127*Assumptions!B5/12</f>
        <v/>
      </c>
      <c r="P127" s="3">
        <f>Assumptions!B6</f>
        <v/>
      </c>
      <c r="Q127" s="3">
        <f>Assumptions!B7+Assumptions!B8</f>
        <v/>
      </c>
      <c r="R127" s="3">
        <f>N127+F127+O127+P127+Q127</f>
        <v/>
      </c>
      <c r="S127" s="3" t="n">
        <v>0</v>
      </c>
      <c r="T127" s="3">
        <f>R127-S127*MAX(IFERROR(G127-1,0),0)</f>
        <v/>
      </c>
      <c r="U127" t="n">
        <v>1.2</v>
      </c>
      <c r="V127" t="n">
        <v>15.2</v>
      </c>
      <c r="W127" t="n">
        <v>14.1</v>
      </c>
      <c r="X127" s="8">
        <f>(IF(E127="",2,IF(E127&lt;=400000,3,IF(E127&gt;=500000,1,2))))*0.1+(IF(OR(G127="",G127=0),2,IF((E127/G127)&lt;=200000,3,IF((E127/G127)&gt;=300000,1,2))))*0.1+(IF(F127="",2,IF(F127&lt;=200,3,IF(F127&gt;=400,1,2))))*0.1+(IF(T127="",2,IF(T127&lt;=2000,3,IF(T127&gt;=3000,1,2))))*0.2+(IF(V127="",2,IF(V127&lt;=15,3,IF(V127&gt;=30,1,2))))*0.15+(IF(W127="",2,IF(W127&lt;=15,3,IF(W127&gt;=25,1,2))))*0.1+(IF(U127="",2,IF(U127&lt;=5,3,IF(U127&gt;=15,1,2))))*0.1+(IF(J127="Yes",3,IF(J127="No",1,2)))*0.05+(IF(OR(K127="",UPPER(TRIM(K127))="UNKNOWN"),2,IF(OR(UPPER(TRIM(K127))="NONE",ISNUMBER(SEARCH("no parking",K127))),1,3)))*0.05+(IF(AND(ISNUMBER(I127),I127&gt;=900),3,IF(AND(ISNUMBER(G127),G127&gt;=2),3,IF(AND(ISNUMBER(I127),I127&gt;=700),2,IF(AND(ISNUMBER(I127),I127&lt;700),1,2)))))*0.05</f>
        <v/>
      </c>
      <c r="Y127">
        <f>IF(X127&gt;=2.3,"Green",IF(X127&gt;=1.7,"Yellow","Red"))</f>
        <v/>
      </c>
    </row>
    <row r="128">
      <c r="A128" s="9" t="inlineStr">
        <is>
          <t>32 Whites Ave Unit D65, Watertown, MA 02472</t>
        </is>
      </c>
      <c r="B128" t="inlineStr">
        <is>
          <t>Watertown</t>
        </is>
      </c>
      <c r="C128" s="6" t="inlineStr">
        <is>
          <t>https://www.redfin.com/MA/Watertown/32-Whites-Ave-02472/unit-D65/home/11705029</t>
        </is>
      </c>
      <c r="D128" s="7" t="n"/>
      <c r="E128" s="3" t="n">
        <v>380000</v>
      </c>
      <c r="F128" s="3" t="n">
        <v>394</v>
      </c>
      <c r="G128" t="n">
        <v>1</v>
      </c>
      <c r="H128" t="n">
        <v>1</v>
      </c>
      <c r="I128" s="4" t="n">
        <v>550</v>
      </c>
      <c r="J128" t="inlineStr">
        <is>
          <t>No</t>
        </is>
      </c>
      <c r="K128" t="inlineStr">
        <is>
          <t>1 space</t>
        </is>
      </c>
      <c r="L128" s="3">
        <f>Assumptions!B3</f>
        <v/>
      </c>
      <c r="M128" s="3">
        <f>E128-L128</f>
        <v/>
      </c>
      <c r="N128" s="3">
        <f>-PMT(Assumptions!B2/12,Assumptions!B4*12,M128)</f>
        <v/>
      </c>
      <c r="O128" s="3">
        <f>E128*Assumptions!B5/12</f>
        <v/>
      </c>
      <c r="P128" s="3">
        <f>Assumptions!B6</f>
        <v/>
      </c>
      <c r="Q128" s="3">
        <f>Assumptions!B7+Assumptions!B8</f>
        <v/>
      </c>
      <c r="R128" s="3">
        <f>N128+F128+O128+P128+Q128</f>
        <v/>
      </c>
      <c r="S128" s="3" t="n">
        <v>0</v>
      </c>
      <c r="T128" s="3">
        <f>R128-S128*MAX(IFERROR(G128-1,0),0)</f>
        <v/>
      </c>
      <c r="U128" t="n">
        <v>10.7</v>
      </c>
      <c r="V128" t="n">
        <v>17.1</v>
      </c>
      <c r="W128" t="n">
        <v>17</v>
      </c>
      <c r="X128" s="8">
        <f>(IF(E128="",2,IF(E128&lt;=400000,3,IF(E128&gt;=500000,1,2))))*0.1+(IF(OR(G128="",G128=0),2,IF((E128/G128)&lt;=200000,3,IF((E128/G128)&gt;=300000,1,2))))*0.1+(IF(F128="",2,IF(F128&lt;=200,3,IF(F128&gt;=400,1,2))))*0.1+(IF(T128="",2,IF(T128&lt;=2000,3,IF(T128&gt;=3000,1,2))))*0.2+(IF(V128="",2,IF(V128&lt;=15,3,IF(V128&gt;=30,1,2))))*0.15+(IF(W128="",2,IF(W128&lt;=15,3,IF(W128&gt;=25,1,2))))*0.1+(IF(U128="",2,IF(U128&lt;=5,3,IF(U128&gt;=15,1,2))))*0.1+(IF(J128="Yes",3,IF(J128="No",1,2)))*0.05+(IF(OR(K128="",UPPER(TRIM(K128))="UNKNOWN"),2,IF(OR(UPPER(TRIM(K128))="NONE",ISNUMBER(SEARCH("no parking",K128))),1,3)))*0.05+(IF(AND(ISNUMBER(I128),I128&gt;=900),3,IF(AND(ISNUMBER(G128),G128&gt;=2),3,IF(AND(ISNUMBER(I128),I128&gt;=700),2,IF(AND(ISNUMBER(I128),I128&lt;700),1,2)))))*0.05</f>
        <v/>
      </c>
      <c r="Y128">
        <f>IF(X128&gt;=2.3,"Green",IF(X128&gt;=1.7,"Yellow","Red"))</f>
        <v/>
      </c>
    </row>
    <row r="129">
      <c r="A129" s="9" t="inlineStr">
        <is>
          <t>2353 Massachusetts Ave #93, Cambridge, MA 02140</t>
        </is>
      </c>
      <c r="B129" t="inlineStr">
        <is>
          <t>Cambridge</t>
        </is>
      </c>
      <c r="C129" s="6" t="inlineStr">
        <is>
          <t>https://www.redfin.com/MA/Cambridge/2353-Massachusetts-Ave-02140/unit-93/home/11579819</t>
        </is>
      </c>
      <c r="D129" s="7" t="n"/>
      <c r="E129" s="3" t="n">
        <v>529000</v>
      </c>
      <c r="F129" s="3" t="n">
        <v>390</v>
      </c>
      <c r="G129" t="n">
        <v>1</v>
      </c>
      <c r="H129" t="n">
        <v>1</v>
      </c>
      <c r="I129" s="4" t="n">
        <v>632</v>
      </c>
      <c r="J129" t="inlineStr">
        <is>
          <t>No</t>
        </is>
      </c>
      <c r="K129" t="inlineStr">
        <is>
          <t>1 space</t>
        </is>
      </c>
      <c r="L129" s="3">
        <f>Assumptions!B3</f>
        <v/>
      </c>
      <c r="M129" s="3">
        <f>E129-L129</f>
        <v/>
      </c>
      <c r="N129" s="3">
        <f>-PMT(Assumptions!B2/12,Assumptions!B4*12,M129)</f>
        <v/>
      </c>
      <c r="O129" s="3">
        <f>E129*Assumptions!B5/12</f>
        <v/>
      </c>
      <c r="P129" s="3">
        <f>Assumptions!B6</f>
        <v/>
      </c>
      <c r="Q129" s="3">
        <f>Assumptions!B7+Assumptions!B8</f>
        <v/>
      </c>
      <c r="R129" s="3">
        <f>N129+F129+O129+P129+Q129</f>
        <v/>
      </c>
      <c r="S129" s="3" t="n">
        <v>0</v>
      </c>
      <c r="T129" s="3">
        <f>R129-S129*MAX(IFERROR(G129-1,0),0)</f>
        <v/>
      </c>
      <c r="U129" t="n">
        <v>4.4</v>
      </c>
      <c r="V129" t="n">
        <v>15.1</v>
      </c>
      <c r="W129" t="n">
        <v>12.7</v>
      </c>
      <c r="X129" s="8">
        <f>(IF(E129="",2,IF(E129&lt;=400000,3,IF(E129&gt;=500000,1,2))))*0.1+(IF(OR(G129="",G129=0),2,IF((E129/G129)&lt;=200000,3,IF((E129/G129)&gt;=300000,1,2))))*0.1+(IF(F129="",2,IF(F129&lt;=200,3,IF(F129&gt;=400,1,2))))*0.1+(IF(T129="",2,IF(T129&lt;=2000,3,IF(T129&gt;=3000,1,2))))*0.2+(IF(V129="",2,IF(V129&lt;=15,3,IF(V129&gt;=30,1,2))))*0.15+(IF(W129="",2,IF(W129&lt;=15,3,IF(W129&gt;=25,1,2))))*0.1+(IF(U129="",2,IF(U129&lt;=5,3,IF(U129&gt;=15,1,2))))*0.1+(IF(J129="Yes",3,IF(J129="No",1,2)))*0.05+(IF(OR(K129="",UPPER(TRIM(K129))="UNKNOWN"),2,IF(OR(UPPER(TRIM(K129))="NONE",ISNUMBER(SEARCH("no parking",K129))),1,3)))*0.05+(IF(AND(ISNUMBER(I129),I129&gt;=900),3,IF(AND(ISNUMBER(G129),G129&gt;=2),3,IF(AND(ISNUMBER(I129),I129&gt;=700),2,IF(AND(ISNUMBER(I129),I129&lt;700),1,2)))))*0.05</f>
        <v/>
      </c>
      <c r="Y129">
        <f>IF(X129&gt;=2.3,"Green",IF(X129&gt;=1.7,"Yellow","Red"))</f>
        <v/>
      </c>
    </row>
    <row r="130">
      <c r="A130" s="9" t="inlineStr">
        <is>
          <t>70 Leo M Birmingham Pkwy #416, Boston, MA 02135</t>
        </is>
      </c>
      <c r="B130" t="inlineStr">
        <is>
          <t>Brighton</t>
        </is>
      </c>
      <c r="C130" s="6" t="inlineStr">
        <is>
          <t>https://www.redfin.com/MA/Boston/70-Leo-M-Birmingham-Pkwy-02135/unit-416/home/178944372</t>
        </is>
      </c>
      <c r="D130" s="7" t="n"/>
      <c r="E130" s="3" t="n">
        <v>599000</v>
      </c>
      <c r="F130" s="3" t="n">
        <v>426</v>
      </c>
      <c r="G130" t="n">
        <v>1</v>
      </c>
      <c r="H130" t="n">
        <v>1</v>
      </c>
      <c r="I130" s="4" t="n">
        <v>597</v>
      </c>
      <c r="J130" t="inlineStr">
        <is>
          <t>No</t>
        </is>
      </c>
      <c r="K130" t="inlineStr">
        <is>
          <t>0 spaces</t>
        </is>
      </c>
      <c r="L130" s="3">
        <f>Assumptions!B3</f>
        <v/>
      </c>
      <c r="M130" s="3">
        <f>E130-L130</f>
        <v/>
      </c>
      <c r="N130" s="3">
        <f>-PMT(Assumptions!B2/12,Assumptions!B4*12,M130)</f>
        <v/>
      </c>
      <c r="O130" s="3">
        <f>E130*Assumptions!B5/12</f>
        <v/>
      </c>
      <c r="P130" s="3">
        <f>Assumptions!B6</f>
        <v/>
      </c>
      <c r="Q130" s="3">
        <f>Assumptions!B7+Assumptions!B8</f>
        <v/>
      </c>
      <c r="R130" s="3">
        <f>N130+F130+O130+P130+Q130</f>
        <v/>
      </c>
      <c r="S130" s="3" t="n">
        <v>0</v>
      </c>
      <c r="T130" s="3">
        <f>R130-S130*MAX(IFERROR(G130-1,0),0)</f>
        <v/>
      </c>
      <c r="U130" t="n">
        <v>6</v>
      </c>
      <c r="V130" t="n">
        <v>13.2</v>
      </c>
      <c r="W130" t="n">
        <v>12.8</v>
      </c>
      <c r="X130" s="8">
        <f>(IF(E130="",2,IF(E130&lt;=400000,3,IF(E130&gt;=500000,1,2))))*0.1+(IF(OR(G130="",G130=0),2,IF((E130/G130)&lt;=200000,3,IF((E130/G130)&gt;=300000,1,2))))*0.1+(IF(F130="",2,IF(F130&lt;=200,3,IF(F130&gt;=400,1,2))))*0.1+(IF(T130="",2,IF(T130&lt;=2000,3,IF(T130&gt;=3000,1,2))))*0.2+(IF(V130="",2,IF(V130&lt;=15,3,IF(V130&gt;=30,1,2))))*0.15+(IF(W130="",2,IF(W130&lt;=15,3,IF(W130&gt;=25,1,2))))*0.1+(IF(U130="",2,IF(U130&lt;=5,3,IF(U130&gt;=15,1,2))))*0.1+(IF(J130="Yes",3,IF(J130="No",1,2)))*0.05+(IF(OR(K130="",UPPER(TRIM(K130))="UNKNOWN"),2,IF(OR(UPPER(TRIM(K130))="NONE",ISNUMBER(SEARCH("no parking",K130))),1,3)))*0.05+(IF(AND(ISNUMBER(I130),I130&gt;=900),3,IF(AND(ISNUMBER(G130),G130&gt;=2),3,IF(AND(ISNUMBER(I130),I130&gt;=700),2,IF(AND(ISNUMBER(I130),I130&lt;700),1,2)))))*0.05</f>
        <v/>
      </c>
      <c r="Y130">
        <f>IF(X130&gt;=2.3,"Green",IF(X130&gt;=1.7,"Yellow","Red"))</f>
        <v/>
      </c>
    </row>
    <row r="131">
      <c r="A131" s="9" t="inlineStr">
        <is>
          <t>22 Chestnut Pl #210, Brookline, MA 02445</t>
        </is>
      </c>
      <c r="B131" t="inlineStr">
        <is>
          <t>Brookline</t>
        </is>
      </c>
      <c r="C131" s="6" t="inlineStr">
        <is>
          <t>https://www.redfin.com/MA/Brookline/22-Chestnut-Pl-02445/unit-210/home/11492260</t>
        </is>
      </c>
      <c r="D131" s="7" t="n"/>
      <c r="E131" s="3" t="n">
        <v>579900</v>
      </c>
      <c r="F131" s="3" t="n">
        <v>438</v>
      </c>
      <c r="G131" t="n">
        <v>1</v>
      </c>
      <c r="H131" t="n">
        <v>1.5</v>
      </c>
      <c r="I131" s="4" t="n">
        <v>830</v>
      </c>
      <c r="J131" t="inlineStr">
        <is>
          <t>No</t>
        </is>
      </c>
      <c r="K131" t="inlineStr">
        <is>
          <t>2 spaces</t>
        </is>
      </c>
      <c r="L131" s="3">
        <f>Assumptions!B3</f>
        <v/>
      </c>
      <c r="M131" s="3">
        <f>E131-L131</f>
        <v/>
      </c>
      <c r="N131" s="3">
        <f>-PMT(Assumptions!B2/12,Assumptions!B4*12,M131)</f>
        <v/>
      </c>
      <c r="O131" s="3">
        <f>E131*Assumptions!B5/12</f>
        <v/>
      </c>
      <c r="P131" s="3">
        <f>Assumptions!B6</f>
        <v/>
      </c>
      <c r="Q131" s="3">
        <f>Assumptions!B7+Assumptions!B8</f>
        <v/>
      </c>
      <c r="R131" s="3">
        <f>N131+F131+O131+P131+Q131</f>
        <v/>
      </c>
      <c r="S131" s="3" t="n">
        <v>0</v>
      </c>
      <c r="T131" s="3">
        <f>R131-S131*MAX(IFERROR(G131-1,0),0)</f>
        <v/>
      </c>
      <c r="U131" t="n">
        <v>4.1</v>
      </c>
      <c r="V131" t="n">
        <v>16.6</v>
      </c>
      <c r="W131" t="n">
        <v>14.9</v>
      </c>
      <c r="X131" s="8">
        <f>(IF(E131="",2,IF(E131&lt;=400000,3,IF(E131&gt;=500000,1,2))))*0.1+(IF(OR(G131="",G131=0),2,IF((E131/G131)&lt;=200000,3,IF((E131/G131)&gt;=300000,1,2))))*0.1+(IF(F131="",2,IF(F131&lt;=200,3,IF(F131&gt;=400,1,2))))*0.1+(IF(T131="",2,IF(T131&lt;=2000,3,IF(T131&gt;=3000,1,2))))*0.2+(IF(V131="",2,IF(V131&lt;=15,3,IF(V131&gt;=30,1,2))))*0.15+(IF(W131="",2,IF(W131&lt;=15,3,IF(W131&gt;=25,1,2))))*0.1+(IF(U131="",2,IF(U131&lt;=5,3,IF(U131&gt;=15,1,2))))*0.1+(IF(J131="Yes",3,IF(J131="No",1,2)))*0.05+(IF(OR(K131="",UPPER(TRIM(K131))="UNKNOWN"),2,IF(OR(UPPER(TRIM(K131))="NONE",ISNUMBER(SEARCH("no parking",K131))),1,3)))*0.05+(IF(AND(ISNUMBER(I131),I131&gt;=900),3,IF(AND(ISNUMBER(G131),G131&gt;=2),3,IF(AND(ISNUMBER(I131),I131&gt;=700),2,IF(AND(ISNUMBER(I131),I131&lt;700),1,2)))))*0.05</f>
        <v/>
      </c>
      <c r="Y131">
        <f>IF(X131&gt;=2.3,"Green",IF(X131&gt;=1.7,"Yellow","Red"))</f>
        <v/>
      </c>
    </row>
    <row r="132">
      <c r="A132" s="9" t="inlineStr">
        <is>
          <t>4 Repton Cir #4105, Watertown, MA 02472</t>
        </is>
      </c>
      <c r="B132" t="inlineStr">
        <is>
          <t>Watertown</t>
        </is>
      </c>
      <c r="C132" s="6" t="inlineStr">
        <is>
          <t>https://www.redfin.com/MA/Watertown/4-Repton-Cir-02472/unit-4105/home/18977070</t>
        </is>
      </c>
      <c r="D132" s="7" t="inlineStr">
        <is>
          <t>2026-04-09</t>
        </is>
      </c>
      <c r="E132" s="3" t="n">
        <v>469900</v>
      </c>
      <c r="F132" s="3" t="n">
        <v>309</v>
      </c>
      <c r="G132" t="n">
        <v>1</v>
      </c>
      <c r="H132" t="n">
        <v>1</v>
      </c>
      <c r="I132" s="4" t="n">
        <v>593</v>
      </c>
      <c r="J132" t="inlineStr">
        <is>
          <t>No</t>
        </is>
      </c>
      <c r="K132" t="inlineStr">
        <is>
          <t>1 space</t>
        </is>
      </c>
      <c r="L132" s="3">
        <f>Assumptions!B3</f>
        <v/>
      </c>
      <c r="M132" s="3">
        <f>E132-L132</f>
        <v/>
      </c>
      <c r="N132" s="3">
        <f>-PMT(Assumptions!B2/12,Assumptions!B4*12,M132)</f>
        <v/>
      </c>
      <c r="O132" s="3">
        <f>E132*Assumptions!B5/12</f>
        <v/>
      </c>
      <c r="P132" s="3">
        <f>Assumptions!B6</f>
        <v/>
      </c>
      <c r="Q132" s="3">
        <f>Assumptions!B7+Assumptions!B8</f>
        <v/>
      </c>
      <c r="R132" s="3">
        <f>N132+F132+O132+P132+Q132</f>
        <v/>
      </c>
      <c r="S132" s="3" t="n">
        <v>0</v>
      </c>
      <c r="T132" s="3">
        <f>R132-S132*MAX(IFERROR(G132-1,0),0)</f>
        <v/>
      </c>
      <c r="U132" t="n">
        <v>9.699999999999999</v>
      </c>
      <c r="V132" t="n">
        <v>18.9</v>
      </c>
      <c r="W132" t="n">
        <v>19.5</v>
      </c>
      <c r="X132" s="8">
        <f>(IF(E132="",2,IF(E132&lt;=400000,3,IF(E132&gt;=500000,1,2))))*0.1+(IF(OR(G132="",G132=0),2,IF((E132/G132)&lt;=200000,3,IF((E132/G132)&gt;=300000,1,2))))*0.1+(IF(F132="",2,IF(F132&lt;=200,3,IF(F132&gt;=400,1,2))))*0.1+(IF(T132="",2,IF(T132&lt;=2000,3,IF(T132&gt;=3000,1,2))))*0.2+(IF(V132="",2,IF(V132&lt;=15,3,IF(V132&gt;=30,1,2))))*0.15+(IF(W132="",2,IF(W132&lt;=15,3,IF(W132&gt;=25,1,2))))*0.1+(IF(U132="",2,IF(U132&lt;=5,3,IF(U132&gt;=15,1,2))))*0.1+(IF(J132="Yes",3,IF(J132="No",1,2)))*0.05+(IF(OR(K132="",UPPER(TRIM(K132))="UNKNOWN"),2,IF(OR(UPPER(TRIM(K132))="NONE",ISNUMBER(SEARCH("no parking",K132))),1,3)))*0.05+(IF(AND(ISNUMBER(I132),I132&gt;=900),3,IF(AND(ISNUMBER(G132),G132&gt;=2),3,IF(AND(ISNUMBER(I132),I132&gt;=700),2,IF(AND(ISNUMBER(I132),I132&lt;700),1,2)))))*0.05</f>
        <v/>
      </c>
      <c r="Y132">
        <f>IF(X132&gt;=2.3,"Green",IF(X132&gt;=1.7,"Yellow","Red"))</f>
        <v/>
      </c>
    </row>
    <row r="133">
      <c r="A133" s="9" t="inlineStr">
        <is>
          <t>6 Garden Ct #5, Cambridge, MA 02138</t>
        </is>
      </c>
      <c r="B133" t="inlineStr">
        <is>
          <t>Cambridge</t>
        </is>
      </c>
      <c r="C133" s="6" t="inlineStr">
        <is>
          <t>https://www.redfin.com/MA/Cambridge/6-Garden-Ct-02138/unit-5/home/11600335</t>
        </is>
      </c>
      <c r="D133" s="7" t="inlineStr">
        <is>
          <t>2026-04-07</t>
        </is>
      </c>
      <c r="E133" s="3" t="n">
        <v>579000</v>
      </c>
      <c r="F133" s="3" t="n">
        <v>400</v>
      </c>
      <c r="G133" t="n">
        <v>2</v>
      </c>
      <c r="H133" t="n">
        <v>1</v>
      </c>
      <c r="I133" s="4" t="n">
        <v>612</v>
      </c>
      <c r="J133" t="inlineStr">
        <is>
          <t>No</t>
        </is>
      </c>
      <c r="K133" t="inlineStr">
        <is>
          <t>0 spaces</t>
        </is>
      </c>
      <c r="L133" s="3">
        <f>Assumptions!B3</f>
        <v/>
      </c>
      <c r="M133" s="3">
        <f>E133-L133</f>
        <v/>
      </c>
      <c r="N133" s="3">
        <f>-PMT(Assumptions!B2/12,Assumptions!B4*12,M133)</f>
        <v/>
      </c>
      <c r="O133" s="3">
        <f>E133*Assumptions!B5/12</f>
        <v/>
      </c>
      <c r="P133" s="3">
        <f>Assumptions!B6</f>
        <v/>
      </c>
      <c r="Q133" s="3">
        <f>Assumptions!B7+Assumptions!B8</f>
        <v/>
      </c>
      <c r="R133" s="3">
        <f>N133+F133+O133+P133+Q133</f>
        <v/>
      </c>
      <c r="S133" s="3" t="n">
        <v>1625</v>
      </c>
      <c r="T133" s="3">
        <f>R133-S133*MAX(IFERROR(G133-1,0),0)</f>
        <v/>
      </c>
      <c r="X133" s="8">
        <f>(IF(E133="",2,IF(E133&lt;=400000,3,IF(E133&gt;=500000,1,2))))*0.1+(IF(OR(G133="",G133=0),2,IF((E133/G133)&lt;=200000,3,IF((E133/G133)&gt;=300000,1,2))))*0.1+(IF(F133="",2,IF(F133&lt;=200,3,IF(F133&gt;=400,1,2))))*0.1+(IF(T133="",2,IF(T133&lt;=2000,3,IF(T133&gt;=3000,1,2))))*0.2+(IF(V133="",2,IF(V133&lt;=15,3,IF(V133&gt;=30,1,2))))*0.15+(IF(W133="",2,IF(W133&lt;=15,3,IF(W133&gt;=25,1,2))))*0.1+(IF(U133="",2,IF(U133&lt;=5,3,IF(U133&gt;=15,1,2))))*0.1+(IF(J133="Yes",3,IF(J133="No",1,2)))*0.05+(IF(OR(K133="",UPPER(TRIM(K133))="UNKNOWN"),2,IF(OR(UPPER(TRIM(K133))="NONE",ISNUMBER(SEARCH("no parking",K133))),1,3)))*0.05+(IF(AND(ISNUMBER(I133),I133&gt;=900),3,IF(AND(ISNUMBER(G133),G133&gt;=2),3,IF(AND(ISNUMBER(I133),I133&gt;=700),2,IF(AND(ISNUMBER(I133),I133&lt;700),1,2)))))*0.05</f>
        <v/>
      </c>
      <c r="Y133">
        <f>IF(X133&gt;=2.3,"Green",IF(X133&gt;=1.7,"Yellow","Red"))</f>
        <v/>
      </c>
    </row>
    <row r="134">
      <c r="A134" s="9" t="inlineStr">
        <is>
          <t>314 Riverside Ave #408, Medford, MA 02155</t>
        </is>
      </c>
      <c r="B134" t="inlineStr">
        <is>
          <t>Medford</t>
        </is>
      </c>
      <c r="C134" s="6" t="inlineStr">
        <is>
          <t>https://www.redfin.com/MA/Medford/314-Riverside-Ave-02155/unit-408/home/11794508</t>
        </is>
      </c>
      <c r="D134" s="7" t="inlineStr">
        <is>
          <t>2026-04-09</t>
        </is>
      </c>
      <c r="E134" s="3" t="n">
        <v>519900</v>
      </c>
      <c r="F134" s="3" t="n">
        <v>451</v>
      </c>
      <c r="G134" t="n">
        <v>2</v>
      </c>
      <c r="H134" t="n">
        <v>1</v>
      </c>
      <c r="I134" s="4" t="n">
        <v>1145</v>
      </c>
      <c r="J134" t="inlineStr">
        <is>
          <t>No</t>
        </is>
      </c>
      <c r="K134" t="inlineStr">
        <is>
          <t>1 space</t>
        </is>
      </c>
      <c r="L134" s="3">
        <f>Assumptions!B3</f>
        <v/>
      </c>
      <c r="M134" s="3">
        <f>E134-L134</f>
        <v/>
      </c>
      <c r="N134" s="3">
        <f>-PMT(Assumptions!B2/12,Assumptions!B4*12,M134)</f>
        <v/>
      </c>
      <c r="O134" s="3">
        <f>E134*Assumptions!B5/12</f>
        <v/>
      </c>
      <c r="P134" s="3">
        <f>Assumptions!B6</f>
        <v/>
      </c>
      <c r="Q134" s="3">
        <f>Assumptions!B7+Assumptions!B8</f>
        <v/>
      </c>
      <c r="R134" s="3">
        <f>N134+F134+O134+P134+Q134</f>
        <v/>
      </c>
      <c r="S134" s="3" t="n">
        <v>1235</v>
      </c>
      <c r="T134" s="3">
        <f>R134-S134*MAX(IFERROR(G134-1,0),0)</f>
        <v/>
      </c>
      <c r="X134" s="8">
        <f>(IF(E134="",2,IF(E134&lt;=400000,3,IF(E134&gt;=500000,1,2))))*0.1+(IF(OR(G134="",G134=0),2,IF((E134/G134)&lt;=200000,3,IF((E134/G134)&gt;=300000,1,2))))*0.1+(IF(F134="",2,IF(F134&lt;=200,3,IF(F134&gt;=400,1,2))))*0.1+(IF(T134="",2,IF(T134&lt;=2000,3,IF(T134&gt;=3000,1,2))))*0.2+(IF(V134="",2,IF(V134&lt;=15,3,IF(V134&gt;=30,1,2))))*0.15+(IF(W134="",2,IF(W134&lt;=15,3,IF(W134&gt;=25,1,2))))*0.1+(IF(U134="",2,IF(U134&lt;=5,3,IF(U134&gt;=15,1,2))))*0.1+(IF(J134="Yes",3,IF(J134="No",1,2)))*0.05+(IF(OR(K134="",UPPER(TRIM(K134))="UNKNOWN"),2,IF(OR(UPPER(TRIM(K134))="NONE",ISNUMBER(SEARCH("no parking",K134))),1,3)))*0.05+(IF(AND(ISNUMBER(I134),I134&gt;=900),3,IF(AND(ISNUMBER(G134),G134&gt;=2),3,IF(AND(ISNUMBER(I134),I134&gt;=700),2,IF(AND(ISNUMBER(I134),I134&lt;700),1,2)))))*0.05</f>
        <v/>
      </c>
      <c r="Y134">
        <f>IF(X134&gt;=2.3,"Green",IF(X134&gt;=1.7,"Yellow","Red"))</f>
        <v/>
      </c>
    </row>
    <row r="135">
      <c r="A135" s="9" t="inlineStr">
        <is>
          <t>314 Riverside Ave #305, Medford, MA 02155</t>
        </is>
      </c>
      <c r="B135" t="inlineStr">
        <is>
          <t>Medford</t>
        </is>
      </c>
      <c r="C135" s="6" t="inlineStr">
        <is>
          <t>https://www.redfin.com/MA/Medford/314-Riverside-Ave-02155/unit-305/home/11794499</t>
        </is>
      </c>
      <c r="D135" s="7" t="inlineStr">
        <is>
          <t>2026-03-08</t>
        </is>
      </c>
      <c r="E135" s="3" t="n">
        <v>579900</v>
      </c>
      <c r="F135" s="3" t="n">
        <v>433</v>
      </c>
      <c r="G135" t="n">
        <v>2</v>
      </c>
      <c r="H135" t="n">
        <v>1</v>
      </c>
      <c r="I135" s="4" t="n">
        <v>1079</v>
      </c>
      <c r="J135" t="inlineStr">
        <is>
          <t>No</t>
        </is>
      </c>
      <c r="K135" t="inlineStr">
        <is>
          <t>1 space</t>
        </is>
      </c>
      <c r="L135" s="3">
        <f>Assumptions!B3</f>
        <v/>
      </c>
      <c r="M135" s="3">
        <f>E135-L135</f>
        <v/>
      </c>
      <c r="N135" s="3">
        <f>-PMT(Assumptions!B2/12,Assumptions!B4*12,M135)</f>
        <v/>
      </c>
      <c r="O135" s="3">
        <f>E135*Assumptions!B5/12</f>
        <v/>
      </c>
      <c r="P135" s="3">
        <f>Assumptions!B6</f>
        <v/>
      </c>
      <c r="Q135" s="3">
        <f>Assumptions!B7+Assumptions!B8</f>
        <v/>
      </c>
      <c r="R135" s="3">
        <f>N135+F135+O135+P135+Q135</f>
        <v/>
      </c>
      <c r="S135" s="3" t="n">
        <v>1235</v>
      </c>
      <c r="T135" s="3">
        <f>R135-S135*MAX(IFERROR(G135-1,0),0)</f>
        <v/>
      </c>
      <c r="X135" s="8">
        <f>(IF(E135="",2,IF(E135&lt;=400000,3,IF(E135&gt;=500000,1,2))))*0.1+(IF(OR(G135="",G135=0),2,IF((E135/G135)&lt;=200000,3,IF((E135/G135)&gt;=300000,1,2))))*0.1+(IF(F135="",2,IF(F135&lt;=200,3,IF(F135&gt;=400,1,2))))*0.1+(IF(T135="",2,IF(T135&lt;=2000,3,IF(T135&gt;=3000,1,2))))*0.2+(IF(V135="",2,IF(V135&lt;=15,3,IF(V135&gt;=30,1,2))))*0.15+(IF(W135="",2,IF(W135&lt;=15,3,IF(W135&gt;=25,1,2))))*0.1+(IF(U135="",2,IF(U135&lt;=5,3,IF(U135&gt;=15,1,2))))*0.1+(IF(J135="Yes",3,IF(J135="No",1,2)))*0.05+(IF(OR(K135="",UPPER(TRIM(K135))="UNKNOWN"),2,IF(OR(UPPER(TRIM(K135))="NONE",ISNUMBER(SEARCH("no parking",K135))),1,3)))*0.05+(IF(AND(ISNUMBER(I135),I135&gt;=900),3,IF(AND(ISNUMBER(G135),G135&gt;=2),3,IF(AND(ISNUMBER(I135),I135&gt;=700),2,IF(AND(ISNUMBER(I135),I135&lt;700),1,2)))))*0.05</f>
        <v/>
      </c>
      <c r="Y135">
        <f>IF(X135&gt;=2.3,"Green",IF(X135&gt;=1.7,"Yellow","Red"))</f>
        <v/>
      </c>
    </row>
    <row r="136">
      <c r="A136" s="9" t="inlineStr">
        <is>
          <t>258 Lexington St #258, Watertown, MA 02472</t>
        </is>
      </c>
      <c r="B136" t="inlineStr">
        <is>
          <t>Watertown</t>
        </is>
      </c>
      <c r="C136" s="6" t="inlineStr">
        <is>
          <t>https://www.redfin.com/MA/Watertown/258-Lexington-St-02472/unit-258/home/170318887</t>
        </is>
      </c>
      <c r="D136" s="7" t="inlineStr">
        <is>
          <t>2026-05-12</t>
        </is>
      </c>
      <c r="E136" s="3" t="n">
        <v>549900</v>
      </c>
      <c r="F136" s="3" t="n">
        <v>453</v>
      </c>
      <c r="G136" t="n">
        <v>2</v>
      </c>
      <c r="H136" t="n">
        <v>1</v>
      </c>
      <c r="I136" s="4" t="n">
        <v>1180</v>
      </c>
      <c r="J136" t="inlineStr">
        <is>
          <t>No</t>
        </is>
      </c>
      <c r="K136" t="inlineStr">
        <is>
          <t>1 space</t>
        </is>
      </c>
      <c r="L136" s="3">
        <f>Assumptions!B3</f>
        <v/>
      </c>
      <c r="M136" s="3">
        <f>E136-L136</f>
        <v/>
      </c>
      <c r="N136" s="3">
        <f>-PMT(Assumptions!B2/12,Assumptions!B4*12,M136)</f>
        <v/>
      </c>
      <c r="O136" s="3">
        <f>E136*Assumptions!B5/12</f>
        <v/>
      </c>
      <c r="P136" s="3">
        <f>Assumptions!B6</f>
        <v/>
      </c>
      <c r="Q136" s="3">
        <f>Assumptions!B7+Assumptions!B8</f>
        <v/>
      </c>
      <c r="R136" s="3">
        <f>N136+F136+O136+P136+Q136</f>
        <v/>
      </c>
      <c r="S136" s="3" t="n">
        <v>1365</v>
      </c>
      <c r="T136" s="3">
        <f>R136-S136*MAX(IFERROR(G136-1,0),0)</f>
        <v/>
      </c>
      <c r="U136" t="n">
        <v>9</v>
      </c>
      <c r="V136" t="n">
        <v>18.9</v>
      </c>
      <c r="W136" t="n">
        <v>16.7</v>
      </c>
      <c r="X136" s="8">
        <f>(IF(E136="",2,IF(E136&lt;=400000,3,IF(E136&gt;=500000,1,2))))*0.1+(IF(OR(G136="",G136=0),2,IF((E136/G136)&lt;=200000,3,IF((E136/G136)&gt;=300000,1,2))))*0.1+(IF(F136="",2,IF(F136&lt;=200,3,IF(F136&gt;=400,1,2))))*0.1+(IF(T136="",2,IF(T136&lt;=2000,3,IF(T136&gt;=3000,1,2))))*0.2+(IF(V136="",2,IF(V136&lt;=15,3,IF(V136&gt;=30,1,2))))*0.15+(IF(W136="",2,IF(W136&lt;=15,3,IF(W136&gt;=25,1,2))))*0.1+(IF(U136="",2,IF(U136&lt;=5,3,IF(U136&gt;=15,1,2))))*0.1+(IF(J136="Yes",3,IF(J136="No",1,2)))*0.05+(IF(OR(K136="",UPPER(TRIM(K136))="UNKNOWN"),2,IF(OR(UPPER(TRIM(K136))="NONE",ISNUMBER(SEARCH("no parking",K136))),1,3)))*0.05+(IF(AND(ISNUMBER(I136),I136&gt;=900),3,IF(AND(ISNUMBER(G136),G136&gt;=2),3,IF(AND(ISNUMBER(I136),I136&gt;=700),2,IF(AND(ISNUMBER(I136),I136&lt;700),1,2)))))*0.05</f>
        <v/>
      </c>
      <c r="Y136">
        <f>IF(X136&gt;=2.3,"Green",IF(X136&gt;=1.7,"Yellow","Red"))</f>
        <v/>
      </c>
    </row>
    <row r="137">
      <c r="A137" s="9" t="inlineStr">
        <is>
          <t>23 Pierce Rd #23, Watertown, MA 02472</t>
        </is>
      </c>
      <c r="B137" t="inlineStr">
        <is>
          <t>Watertown</t>
        </is>
      </c>
      <c r="C137" s="6" t="inlineStr">
        <is>
          <t>https://www.redfin.com/MA/Watertown/23-Pierce-Rd-02472/unit-23/home/113244363</t>
        </is>
      </c>
      <c r="D137" s="7" t="inlineStr">
        <is>
          <t>2026-05-06</t>
        </is>
      </c>
      <c r="E137" s="3" t="n">
        <v>529900</v>
      </c>
      <c r="F137" s="3" t="n">
        <v>453</v>
      </c>
      <c r="G137" t="n">
        <v>2</v>
      </c>
      <c r="H137" t="n">
        <v>1</v>
      </c>
      <c r="I137" s="4" t="n">
        <v>1311</v>
      </c>
      <c r="J137" t="inlineStr">
        <is>
          <t>No</t>
        </is>
      </c>
      <c r="K137" t="inlineStr">
        <is>
          <t>1 space</t>
        </is>
      </c>
      <c r="L137" s="3">
        <f>Assumptions!B3</f>
        <v/>
      </c>
      <c r="M137" s="3">
        <f>E137-L137</f>
        <v/>
      </c>
      <c r="N137" s="3">
        <f>-PMT(Assumptions!B2/12,Assumptions!B4*12,M137)</f>
        <v/>
      </c>
      <c r="O137" s="3">
        <f>E137*Assumptions!B5/12</f>
        <v/>
      </c>
      <c r="P137" s="3">
        <f>Assumptions!B6</f>
        <v/>
      </c>
      <c r="Q137" s="3">
        <f>Assumptions!B7+Assumptions!B8</f>
        <v/>
      </c>
      <c r="R137" s="3">
        <f>N137+F137+O137+P137+Q137</f>
        <v/>
      </c>
      <c r="S137" s="3" t="n">
        <v>1365</v>
      </c>
      <c r="T137" s="3">
        <f>R137-S137*MAX(IFERROR(G137-1,0),0)</f>
        <v/>
      </c>
      <c r="U137" t="n">
        <v>8.800000000000001</v>
      </c>
      <c r="V137" t="n">
        <v>18.7</v>
      </c>
      <c r="W137" t="n">
        <v>16.4</v>
      </c>
      <c r="X137" s="8">
        <f>(IF(E137="",2,IF(E137&lt;=400000,3,IF(E137&gt;=500000,1,2))))*0.1+(IF(OR(G137="",G137=0),2,IF((E137/G137)&lt;=200000,3,IF((E137/G137)&gt;=300000,1,2))))*0.1+(IF(F137="",2,IF(F137&lt;=200,3,IF(F137&gt;=400,1,2))))*0.1+(IF(T137="",2,IF(T137&lt;=2000,3,IF(T137&gt;=3000,1,2))))*0.2+(IF(V137="",2,IF(V137&lt;=15,3,IF(V137&gt;=30,1,2))))*0.15+(IF(W137="",2,IF(W137&lt;=15,3,IF(W137&gt;=25,1,2))))*0.1+(IF(U137="",2,IF(U137&lt;=5,3,IF(U137&gt;=15,1,2))))*0.1+(IF(J137="Yes",3,IF(J137="No",1,2)))*0.05+(IF(OR(K137="",UPPER(TRIM(K137))="UNKNOWN"),2,IF(OR(UPPER(TRIM(K137))="NONE",ISNUMBER(SEARCH("no parking",K137))),1,3)))*0.05+(IF(AND(ISNUMBER(I137),I137&gt;=900),3,IF(AND(ISNUMBER(G137),G137&gt;=2),3,IF(AND(ISNUMBER(I137),I137&gt;=700),2,IF(AND(ISNUMBER(I137),I137&lt;700),1,2)))))*0.05</f>
        <v/>
      </c>
      <c r="Y137">
        <f>IF(X137&gt;=2.3,"Green",IF(X137&gt;=1.7,"Yellow","Red"))</f>
        <v/>
      </c>
    </row>
    <row r="138">
      <c r="A138" s="9" t="inlineStr">
        <is>
          <t>38 Grant Ave #38, Watertown, MA 02472</t>
        </is>
      </c>
      <c r="B138" t="inlineStr">
        <is>
          <t>Watertown</t>
        </is>
      </c>
      <c r="C138" s="6" t="inlineStr">
        <is>
          <t>https://www.redfin.com/MA/Watertown/38-Grant-Ave-02472/unit-38/home/113231035</t>
        </is>
      </c>
      <c r="D138" s="7" t="inlineStr">
        <is>
          <t>2026-04-23</t>
        </is>
      </c>
      <c r="E138" s="3" t="n">
        <v>539000</v>
      </c>
      <c r="F138" s="3" t="n">
        <v>442</v>
      </c>
      <c r="G138" t="n">
        <v>2</v>
      </c>
      <c r="H138" t="n">
        <v>1</v>
      </c>
      <c r="I138" s="4" t="n">
        <v>1311</v>
      </c>
      <c r="J138" t="inlineStr">
        <is>
          <t>No</t>
        </is>
      </c>
      <c r="K138" t="inlineStr">
        <is>
          <t>1 space</t>
        </is>
      </c>
      <c r="L138" s="3">
        <f>Assumptions!B3</f>
        <v/>
      </c>
      <c r="M138" s="3">
        <f>E138-L138</f>
        <v/>
      </c>
      <c r="N138" s="3">
        <f>-PMT(Assumptions!B2/12,Assumptions!B4*12,M138)</f>
        <v/>
      </c>
      <c r="O138" s="3">
        <f>E138*Assumptions!B5/12</f>
        <v/>
      </c>
      <c r="P138" s="3">
        <f>Assumptions!B6</f>
        <v/>
      </c>
      <c r="Q138" s="3">
        <f>Assumptions!B7+Assumptions!B8</f>
        <v/>
      </c>
      <c r="R138" s="3">
        <f>N138+F138+O138+P138+Q138</f>
        <v/>
      </c>
      <c r="S138" s="3" t="n">
        <v>1365</v>
      </c>
      <c r="T138" s="3">
        <f>R138-S138*MAX(IFERROR(G138-1,0),0)</f>
        <v/>
      </c>
      <c r="U138" t="n">
        <v>8.9</v>
      </c>
      <c r="V138" t="n">
        <v>18.7</v>
      </c>
      <c r="W138" t="n">
        <v>16.5</v>
      </c>
      <c r="X138" s="8">
        <f>(IF(E138="",2,IF(E138&lt;=400000,3,IF(E138&gt;=500000,1,2))))*0.1+(IF(OR(G138="",G138=0),2,IF((E138/G138)&lt;=200000,3,IF((E138/G138)&gt;=300000,1,2))))*0.1+(IF(F138="",2,IF(F138&lt;=200,3,IF(F138&gt;=400,1,2))))*0.1+(IF(T138="",2,IF(T138&lt;=2000,3,IF(T138&gt;=3000,1,2))))*0.2+(IF(V138="",2,IF(V138&lt;=15,3,IF(V138&gt;=30,1,2))))*0.15+(IF(W138="",2,IF(W138&lt;=15,3,IF(W138&gt;=25,1,2))))*0.1+(IF(U138="",2,IF(U138&lt;=5,3,IF(U138&gt;=15,1,2))))*0.1+(IF(J138="Yes",3,IF(J138="No",1,2)))*0.05+(IF(OR(K138="",UPPER(TRIM(K138))="UNKNOWN"),2,IF(OR(UPPER(TRIM(K138))="NONE",ISNUMBER(SEARCH("no parking",K138))),1,3)))*0.05+(IF(AND(ISNUMBER(I138),I138&gt;=900),3,IF(AND(ISNUMBER(G138),G138&gt;=2),3,IF(AND(ISNUMBER(I138),I138&gt;=700),2,IF(AND(ISNUMBER(I138),I138&lt;700),1,2)))))*0.05</f>
        <v/>
      </c>
      <c r="Y138">
        <f>IF(X138&gt;=2.3,"Green",IF(X138&gt;=1.7,"Yellow","Red"))</f>
        <v/>
      </c>
    </row>
    <row r="139">
      <c r="A139" s="9" t="inlineStr">
        <is>
          <t>189 Chestnut Hill Ave #11, Brighton, MA 02135</t>
        </is>
      </c>
      <c r="B139" t="inlineStr">
        <is>
          <t>Brighton</t>
        </is>
      </c>
      <c r="C139" s="6" t="inlineStr">
        <is>
          <t>https://www.redfin.com/MA/Brighton/189-Chestnut-Hill-Ave-02135/unit-11/home/9036886</t>
        </is>
      </c>
      <c r="D139" s="7" t="inlineStr">
        <is>
          <t>2026-05-06</t>
        </is>
      </c>
      <c r="E139" s="3" t="n">
        <v>415000</v>
      </c>
      <c r="F139" s="3" t="n">
        <v>486</v>
      </c>
      <c r="G139" t="n">
        <v>1</v>
      </c>
      <c r="H139" t="n">
        <v>1.5</v>
      </c>
      <c r="I139" s="4" t="n">
        <v>480</v>
      </c>
      <c r="J139" t="inlineStr">
        <is>
          <t>No</t>
        </is>
      </c>
      <c r="K139" t="inlineStr">
        <is>
          <t>0 spaces</t>
        </is>
      </c>
      <c r="L139" s="3">
        <f>Assumptions!B3</f>
        <v/>
      </c>
      <c r="M139" s="3">
        <f>E139-L139</f>
        <v/>
      </c>
      <c r="N139" s="3">
        <f>-PMT(Assumptions!B2/12,Assumptions!B4*12,M139)</f>
        <v/>
      </c>
      <c r="O139" s="3">
        <f>E139*Assumptions!B5/12</f>
        <v/>
      </c>
      <c r="P139" s="3">
        <f>Assumptions!B6</f>
        <v/>
      </c>
      <c r="Q139" s="3">
        <f>Assumptions!B7+Assumptions!B8</f>
        <v/>
      </c>
      <c r="R139" s="3">
        <f>N139+F139+O139+P139+Q139</f>
        <v/>
      </c>
      <c r="S139" s="3" t="n">
        <v>0</v>
      </c>
      <c r="T139" s="3">
        <f>R139-S139*MAX(IFERROR(G139-1,0),0)</f>
        <v/>
      </c>
      <c r="U139" t="n">
        <v>2.7</v>
      </c>
      <c r="V139" t="n">
        <v>15.7</v>
      </c>
      <c r="W139" t="n">
        <v>15.4</v>
      </c>
      <c r="X139" s="8">
        <f>(IF(E139="",2,IF(E139&lt;=400000,3,IF(E139&gt;=500000,1,2))))*0.1+(IF(OR(G139="",G139=0),2,IF((E139/G139)&lt;=200000,3,IF((E139/G139)&gt;=300000,1,2))))*0.1+(IF(F139="",2,IF(F139&lt;=200,3,IF(F139&gt;=400,1,2))))*0.1+(IF(T139="",2,IF(T139&lt;=2000,3,IF(T139&gt;=3000,1,2))))*0.2+(IF(V139="",2,IF(V139&lt;=15,3,IF(V139&gt;=30,1,2))))*0.15+(IF(W139="",2,IF(W139&lt;=15,3,IF(W139&gt;=25,1,2))))*0.1+(IF(U139="",2,IF(U139&lt;=5,3,IF(U139&gt;=15,1,2))))*0.1+(IF(J139="Yes",3,IF(J139="No",1,2)))*0.05+(IF(OR(K139="",UPPER(TRIM(K139))="UNKNOWN"),2,IF(OR(UPPER(TRIM(K139))="NONE",ISNUMBER(SEARCH("no parking",K139))),1,3)))*0.05+(IF(AND(ISNUMBER(I139),I139&gt;=900),3,IF(AND(ISNUMBER(G139),G139&gt;=2),3,IF(AND(ISNUMBER(I139),I139&gt;=700),2,IF(AND(ISNUMBER(I139),I139&lt;700),1,2)))))*0.05</f>
        <v/>
      </c>
      <c r="Y139">
        <f>IF(X139&gt;=2.3,"Green",IF(X139&gt;=1.7,"Yellow","Red"))</f>
        <v/>
      </c>
    </row>
    <row r="140">
      <c r="A140" s="10" t="inlineStr">
        <is>
          <t>2353 Massachusetts Ave #44, Cambridge, MA 02140</t>
        </is>
      </c>
      <c r="B140" t="inlineStr">
        <is>
          <t>Cambridge</t>
        </is>
      </c>
      <c r="C140" s="6" t="inlineStr">
        <is>
          <t>https://www.redfin.com/MA/Cambridge/2353-Massachusetts-Ave-02140/unit-44/home/11579692</t>
        </is>
      </c>
      <c r="D140" s="7" t="n"/>
      <c r="E140" s="3" t="n">
        <v>550000</v>
      </c>
      <c r="F140" s="3" t="n">
        <v>421</v>
      </c>
      <c r="G140" t="n">
        <v>1</v>
      </c>
      <c r="H140" t="n">
        <v>1</v>
      </c>
      <c r="I140" s="4" t="n">
        <v>684</v>
      </c>
      <c r="J140" t="inlineStr">
        <is>
          <t>No</t>
        </is>
      </c>
      <c r="K140" t="inlineStr">
        <is>
          <t>2 spaces</t>
        </is>
      </c>
      <c r="L140" s="3">
        <f>Assumptions!B3</f>
        <v/>
      </c>
      <c r="M140" s="3">
        <f>E140-L140</f>
        <v/>
      </c>
      <c r="N140" s="3">
        <f>-PMT(Assumptions!B2/12,Assumptions!B4*12,M140)</f>
        <v/>
      </c>
      <c r="O140" s="3">
        <f>E140*Assumptions!B5/12</f>
        <v/>
      </c>
      <c r="P140" s="3">
        <f>Assumptions!B6</f>
        <v/>
      </c>
      <c r="Q140" s="3">
        <f>Assumptions!B7+Assumptions!B8</f>
        <v/>
      </c>
      <c r="R140" s="3">
        <f>N140+F140+O140+P140+Q140</f>
        <v/>
      </c>
      <c r="S140" s="3" t="n">
        <v>0</v>
      </c>
      <c r="T140" s="3">
        <f>R140-S140*MAX(IFERROR(G140-1,0),0)</f>
        <v/>
      </c>
      <c r="U140" t="n">
        <v>4.4</v>
      </c>
      <c r="V140" t="n">
        <v>15.1</v>
      </c>
      <c r="W140" t="n">
        <v>12.7</v>
      </c>
      <c r="X140" s="8">
        <f>(IF(E140="",2,IF(E140&lt;=400000,3,IF(E140&gt;=500000,1,2))))*0.1+(IF(OR(G140="",G140=0),2,IF((E140/G140)&lt;=200000,3,IF((E140/G140)&gt;=300000,1,2))))*0.1+(IF(F140="",2,IF(F140&lt;=200,3,IF(F140&gt;=400,1,2))))*0.1+(IF(T140="",2,IF(T140&lt;=2000,3,IF(T140&gt;=3000,1,2))))*0.2+(IF(V140="",2,IF(V140&lt;=15,3,IF(V140&gt;=30,1,2))))*0.15+(IF(W140="",2,IF(W140&lt;=15,3,IF(W140&gt;=25,1,2))))*0.1+(IF(U140="",2,IF(U140&lt;=5,3,IF(U140&gt;=15,1,2))))*0.1+(IF(J140="Yes",3,IF(J140="No",1,2)))*0.05+(IF(OR(K140="",UPPER(TRIM(K140))="UNKNOWN"),2,IF(OR(UPPER(TRIM(K140))="NONE",ISNUMBER(SEARCH("no parking",K140))),1,3)))*0.05+(IF(AND(ISNUMBER(I140),I140&gt;=900),3,IF(AND(ISNUMBER(G140),G140&gt;=2),3,IF(AND(ISNUMBER(I140),I140&gt;=700),2,IF(AND(ISNUMBER(I140),I140&lt;700),1,2)))))*0.05</f>
        <v/>
      </c>
      <c r="Y140">
        <f>IF(X140&gt;=2.3,"Green",IF(X140&gt;=1.7,"Yellow","Red"))</f>
        <v/>
      </c>
    </row>
    <row r="141">
      <c r="A141" s="10" t="inlineStr">
        <is>
          <t>21 Totman St #403, Quincy, MA 02169</t>
        </is>
      </c>
      <c r="B141" t="inlineStr">
        <is>
          <t>Quincy</t>
        </is>
      </c>
      <c r="C141" s="6" t="inlineStr">
        <is>
          <t>https://www.redfin.com/MA/Quincy/21-Totman-St-02169/unit-403/home/200992802</t>
        </is>
      </c>
      <c r="D141" s="7" t="n"/>
      <c r="E141" s="3" t="n">
        <v>505000</v>
      </c>
      <c r="F141" s="3" t="n">
        <v>327</v>
      </c>
      <c r="G141" t="n">
        <v>1</v>
      </c>
      <c r="H141" t="n">
        <v>1</v>
      </c>
      <c r="I141" s="4" t="n">
        <v>679</v>
      </c>
      <c r="J141" t="inlineStr">
        <is>
          <t>No</t>
        </is>
      </c>
      <c r="K141" t="inlineStr">
        <is>
          <t>1 space</t>
        </is>
      </c>
      <c r="L141" s="3">
        <f>Assumptions!B3</f>
        <v/>
      </c>
      <c r="M141" s="3">
        <f>E141-L141</f>
        <v/>
      </c>
      <c r="N141" s="3">
        <f>-PMT(Assumptions!B2/12,Assumptions!B4*12,M141)</f>
        <v/>
      </c>
      <c r="O141" s="3">
        <f>E141*Assumptions!B5/12</f>
        <v/>
      </c>
      <c r="P141" s="3">
        <f>Assumptions!B6</f>
        <v/>
      </c>
      <c r="Q141" s="3">
        <f>Assumptions!B7+Assumptions!B8</f>
        <v/>
      </c>
      <c r="R141" s="3">
        <f>N141+F141+O141+P141+Q141</f>
        <v/>
      </c>
      <c r="S141" s="3" t="n">
        <v>0</v>
      </c>
      <c r="T141" s="3">
        <f>R141-S141*MAX(IFERROR(G141-1,0),0)</f>
        <v/>
      </c>
      <c r="U141" t="n">
        <v>2.3</v>
      </c>
      <c r="V141" t="n">
        <v>18.3</v>
      </c>
      <c r="W141" t="n">
        <v>22.4</v>
      </c>
      <c r="X141" s="8">
        <f>(IF(E141="",2,IF(E141&lt;=400000,3,IF(E141&gt;=500000,1,2))))*0.1+(IF(OR(G141="",G141=0),2,IF((E141/G141)&lt;=200000,3,IF((E141/G141)&gt;=300000,1,2))))*0.1+(IF(F141="",2,IF(F141&lt;=200,3,IF(F141&gt;=400,1,2))))*0.1+(IF(T141="",2,IF(T141&lt;=2000,3,IF(T141&gt;=3000,1,2))))*0.2+(IF(V141="",2,IF(V141&lt;=15,3,IF(V141&gt;=30,1,2))))*0.15+(IF(W141="",2,IF(W141&lt;=15,3,IF(W141&gt;=25,1,2))))*0.1+(IF(U141="",2,IF(U141&lt;=5,3,IF(U141&gt;=15,1,2))))*0.1+(IF(J141="Yes",3,IF(J141="No",1,2)))*0.05+(IF(OR(K141="",UPPER(TRIM(K141))="UNKNOWN"),2,IF(OR(UPPER(TRIM(K141))="NONE",ISNUMBER(SEARCH("no parking",K141))),1,3)))*0.05+(IF(AND(ISNUMBER(I141),I141&gt;=900),3,IF(AND(ISNUMBER(G141),G141&gt;=2),3,IF(AND(ISNUMBER(I141),I141&gt;=700),2,IF(AND(ISNUMBER(I141),I141&lt;700),1,2)))))*0.05</f>
        <v/>
      </c>
      <c r="Y141">
        <f>IF(X141&gt;=2.3,"Green",IF(X141&gt;=1.7,"Yellow","Red"))</f>
        <v/>
      </c>
    </row>
    <row r="142">
      <c r="A142" s="10" t="inlineStr">
        <is>
          <t>100 Lexington St Unit B8, Belmont, MA 02478</t>
        </is>
      </c>
      <c r="B142" t="inlineStr">
        <is>
          <t>Watertown</t>
        </is>
      </c>
      <c r="C142" s="6" t="inlineStr">
        <is>
          <t>https://www.redfin.com/MA/Belmont/100-Lexington-St-02478/unit-B8/home/8442366</t>
        </is>
      </c>
      <c r="D142" s="7" t="inlineStr">
        <is>
          <t>2026-04-28</t>
        </is>
      </c>
      <c r="E142" s="3" t="n">
        <v>459000</v>
      </c>
      <c r="F142" s="3" t="n">
        <v>449</v>
      </c>
      <c r="G142" t="n">
        <v>1</v>
      </c>
      <c r="H142" t="n">
        <v>1</v>
      </c>
      <c r="I142" s="4" t="n">
        <v>768</v>
      </c>
      <c r="J142" t="inlineStr">
        <is>
          <t>No</t>
        </is>
      </c>
      <c r="K142" t="inlineStr">
        <is>
          <t>1 space</t>
        </is>
      </c>
      <c r="L142" s="3">
        <f>Assumptions!B3</f>
        <v/>
      </c>
      <c r="M142" s="3">
        <f>E142-L142</f>
        <v/>
      </c>
      <c r="N142" s="3">
        <f>-PMT(Assumptions!B2/12,Assumptions!B4*12,M142)</f>
        <v/>
      </c>
      <c r="O142" s="3">
        <f>E142*Assumptions!B5/12</f>
        <v/>
      </c>
      <c r="P142" s="3">
        <f>Assumptions!B6</f>
        <v/>
      </c>
      <c r="Q142" s="3">
        <f>Assumptions!B7+Assumptions!B8</f>
        <v/>
      </c>
      <c r="R142" s="3">
        <f>N142+F142+O142+P142+Q142</f>
        <v/>
      </c>
      <c r="S142" s="3" t="n">
        <v>0</v>
      </c>
      <c r="T142" s="3">
        <f>R142-S142*MAX(IFERROR(G142-1,0),0)</f>
        <v/>
      </c>
      <c r="U142" t="n">
        <v>7.4</v>
      </c>
      <c r="V142" t="n">
        <v>18.8</v>
      </c>
      <c r="W142" t="n">
        <v>16.6</v>
      </c>
      <c r="X142" s="8">
        <f>(IF(E142="",2,IF(E142&lt;=400000,3,IF(E142&gt;=500000,1,2))))*0.1+(IF(OR(G142="",G142=0),2,IF((E142/G142)&lt;=200000,3,IF((E142/G142)&gt;=300000,1,2))))*0.1+(IF(F142="",2,IF(F142&lt;=200,3,IF(F142&gt;=400,1,2))))*0.1+(IF(T142="",2,IF(T142&lt;=2000,3,IF(T142&gt;=3000,1,2))))*0.2+(IF(V142="",2,IF(V142&lt;=15,3,IF(V142&gt;=30,1,2))))*0.15+(IF(W142="",2,IF(W142&lt;=15,3,IF(W142&gt;=25,1,2))))*0.1+(IF(U142="",2,IF(U142&lt;=5,3,IF(U142&gt;=15,1,2))))*0.1+(IF(J142="Yes",3,IF(J142="No",1,2)))*0.05+(IF(OR(K142="",UPPER(TRIM(K142))="UNKNOWN"),2,IF(OR(UPPER(TRIM(K142))="NONE",ISNUMBER(SEARCH("no parking",K142))),1,3)))*0.05+(IF(AND(ISNUMBER(I142),I142&gt;=900),3,IF(AND(ISNUMBER(G142),G142&gt;=2),3,IF(AND(ISNUMBER(I142),I142&gt;=700),2,IF(AND(ISNUMBER(I142),I142&lt;700),1,2)))))*0.05</f>
        <v/>
      </c>
      <c r="Y142">
        <f>IF(X142&gt;=2.3,"Green",IF(X142&gt;=1.7,"Yellow","Red"))</f>
        <v/>
      </c>
    </row>
    <row r="143">
      <c r="A143" s="10" t="inlineStr">
        <is>
          <t>29 Concord Ave #501, Cambridge, MA 02138</t>
        </is>
      </c>
      <c r="B143" t="inlineStr">
        <is>
          <t>Cambridge</t>
        </is>
      </c>
      <c r="C143" s="6" t="inlineStr">
        <is>
          <t>https://www.redfin.com/MA/Cambridge/29-Concord-Ave-02138/unit-501/home/11586445</t>
        </is>
      </c>
      <c r="D143" s="7" t="inlineStr">
        <is>
          <t>2026-04-08</t>
        </is>
      </c>
      <c r="E143" s="3" t="n">
        <v>525000</v>
      </c>
      <c r="F143" s="3" t="n">
        <v>437</v>
      </c>
      <c r="G143" t="n">
        <v>0</v>
      </c>
      <c r="H143" t="n">
        <v>1</v>
      </c>
      <c r="I143" s="4" t="n">
        <v>414</v>
      </c>
      <c r="J143" t="inlineStr">
        <is>
          <t>No</t>
        </is>
      </c>
      <c r="K143" t="inlineStr">
        <is>
          <t>0 spaces</t>
        </is>
      </c>
      <c r="L143" s="3">
        <f>Assumptions!B3</f>
        <v/>
      </c>
      <c r="M143" s="3">
        <f>E143-L143</f>
        <v/>
      </c>
      <c r="N143" s="3">
        <f>-PMT(Assumptions!B2/12,Assumptions!B4*12,M143)</f>
        <v/>
      </c>
      <c r="O143" s="3">
        <f>E143*Assumptions!B5/12</f>
        <v/>
      </c>
      <c r="P143" s="3">
        <f>Assumptions!B6</f>
        <v/>
      </c>
      <c r="Q143" s="3">
        <f>Assumptions!B7+Assumptions!B8</f>
        <v/>
      </c>
      <c r="R143" s="3">
        <f>N143+F143+O143+P143+Q143</f>
        <v/>
      </c>
      <c r="S143" s="3" t="n">
        <v>0</v>
      </c>
      <c r="T143" s="3">
        <f>R143-S143*MAX(IFERROR(G143-1,0),0)</f>
        <v/>
      </c>
      <c r="X143" s="8">
        <f>(IF(E143="",2,IF(E143&lt;=400000,3,IF(E143&gt;=500000,1,2))))*0.1+(IF(OR(G143="",G143=0),2,IF((E143/G143)&lt;=200000,3,IF((E143/G143)&gt;=300000,1,2))))*0.1+(IF(F143="",2,IF(F143&lt;=200,3,IF(F143&gt;=400,1,2))))*0.1+(IF(T143="",2,IF(T143&lt;=2000,3,IF(T143&gt;=3000,1,2))))*0.2+(IF(V143="",2,IF(V143&lt;=15,3,IF(V143&gt;=30,1,2))))*0.15+(IF(W143="",2,IF(W143&lt;=15,3,IF(W143&gt;=25,1,2))))*0.1+(IF(U143="",2,IF(U143&lt;=5,3,IF(U143&gt;=15,1,2))))*0.1+(IF(J143="Yes",3,IF(J143="No",1,2)))*0.05+(IF(OR(K143="",UPPER(TRIM(K143))="UNKNOWN"),2,IF(OR(UPPER(TRIM(K143))="NONE",ISNUMBER(SEARCH("no parking",K143))),1,3)))*0.05+(IF(AND(ISNUMBER(I143),I143&gt;=900),3,IF(AND(ISNUMBER(G143),G143&gt;=2),3,IF(AND(ISNUMBER(I143),I143&gt;=700),2,IF(AND(ISNUMBER(I143),I143&lt;700),1,2)))))*0.05</f>
        <v/>
      </c>
      <c r="Y143">
        <f>IF(X143&gt;=2.3,"Green",IF(X143&gt;=1.7,"Yellow","Red"))</f>
        <v/>
      </c>
    </row>
    <row r="144">
      <c r="A144" s="10" t="inlineStr">
        <is>
          <t>269 Harvard St #19, Cambridge, MA 02139</t>
        </is>
      </c>
      <c r="B144" t="inlineStr">
        <is>
          <t>Cambridge</t>
        </is>
      </c>
      <c r="C144" s="6" t="inlineStr">
        <is>
          <t>https://www.redfin.com/MA/Cambridge/269-Harvard-St-02139/unit-19/home/11562614</t>
        </is>
      </c>
      <c r="D144" s="7" t="inlineStr">
        <is>
          <t>2026-04-09</t>
        </is>
      </c>
      <c r="E144" s="3" t="n">
        <v>595000</v>
      </c>
      <c r="F144" s="3" t="n">
        <v>398</v>
      </c>
      <c r="G144" t="n">
        <v>1</v>
      </c>
      <c r="H144" t="n">
        <v>1</v>
      </c>
      <c r="I144" s="4" t="n">
        <v>557</v>
      </c>
      <c r="J144" t="inlineStr">
        <is>
          <t>No</t>
        </is>
      </c>
      <c r="K144" t="inlineStr">
        <is>
          <t>0 spaces</t>
        </is>
      </c>
      <c r="L144" s="3">
        <f>Assumptions!B3</f>
        <v/>
      </c>
      <c r="M144" s="3">
        <f>E144-L144</f>
        <v/>
      </c>
      <c r="N144" s="3">
        <f>-PMT(Assumptions!B2/12,Assumptions!B4*12,M144)</f>
        <v/>
      </c>
      <c r="O144" s="3">
        <f>E144*Assumptions!B5/12</f>
        <v/>
      </c>
      <c r="P144" s="3">
        <f>Assumptions!B6</f>
        <v/>
      </c>
      <c r="Q144" s="3">
        <f>Assumptions!B7+Assumptions!B8</f>
        <v/>
      </c>
      <c r="R144" s="3">
        <f>N144+F144+O144+P144+Q144</f>
        <v/>
      </c>
      <c r="S144" s="3" t="n">
        <v>0</v>
      </c>
      <c r="T144" s="3">
        <f>R144-S144*MAX(IFERROR(G144-1,0),0)</f>
        <v/>
      </c>
      <c r="X144" s="8">
        <f>(IF(E144="",2,IF(E144&lt;=400000,3,IF(E144&gt;=500000,1,2))))*0.1+(IF(OR(G144="",G144=0),2,IF((E144/G144)&lt;=200000,3,IF((E144/G144)&gt;=300000,1,2))))*0.1+(IF(F144="",2,IF(F144&lt;=200,3,IF(F144&gt;=400,1,2))))*0.1+(IF(T144="",2,IF(T144&lt;=2000,3,IF(T144&gt;=3000,1,2))))*0.2+(IF(V144="",2,IF(V144&lt;=15,3,IF(V144&gt;=30,1,2))))*0.15+(IF(W144="",2,IF(W144&lt;=15,3,IF(W144&gt;=25,1,2))))*0.1+(IF(U144="",2,IF(U144&lt;=5,3,IF(U144&gt;=15,1,2))))*0.1+(IF(J144="Yes",3,IF(J144="No",1,2)))*0.05+(IF(OR(K144="",UPPER(TRIM(K144))="UNKNOWN"),2,IF(OR(UPPER(TRIM(K144))="NONE",ISNUMBER(SEARCH("no parking",K144))),1,3)))*0.05+(IF(AND(ISNUMBER(I144),I144&gt;=900),3,IF(AND(ISNUMBER(G144),G144&gt;=2),3,IF(AND(ISNUMBER(I144),I144&gt;=700),2,IF(AND(ISNUMBER(I144),I144&lt;700),1,2)))))*0.05</f>
        <v/>
      </c>
      <c r="Y144">
        <f>IF(X144&gt;=2.3,"Green",IF(X144&gt;=1.7,"Yellow","Red"))</f>
        <v/>
      </c>
    </row>
    <row r="145">
      <c r="A145" s="10" t="inlineStr">
        <is>
          <t>66 Queensberry St #221, Boston, MA 02115</t>
        </is>
      </c>
      <c r="B145" t="inlineStr">
        <is>
          <t>Brookline</t>
        </is>
      </c>
      <c r="C145" s="6" t="inlineStr">
        <is>
          <t>https://www.redfin.com/MA/Boston/66-Queensberry-St-02215/unit-221/home/9241434</t>
        </is>
      </c>
      <c r="D145" s="7" t="inlineStr">
        <is>
          <t>2026-04-08</t>
        </is>
      </c>
      <c r="E145" s="3" t="n">
        <v>552000</v>
      </c>
      <c r="F145" s="3" t="n">
        <v>350</v>
      </c>
      <c r="G145" t="n">
        <v>1</v>
      </c>
      <c r="H145" t="n">
        <v>1</v>
      </c>
      <c r="I145" s="4" t="n">
        <v>540</v>
      </c>
      <c r="J145" t="inlineStr">
        <is>
          <t>No</t>
        </is>
      </c>
      <c r="K145" t="inlineStr">
        <is>
          <t>0 spaces</t>
        </is>
      </c>
      <c r="L145" s="3">
        <f>Assumptions!B3</f>
        <v/>
      </c>
      <c r="M145" s="3">
        <f>E145-L145</f>
        <v/>
      </c>
      <c r="N145" s="3">
        <f>-PMT(Assumptions!B2/12,Assumptions!B4*12,M145)</f>
        <v/>
      </c>
      <c r="O145" s="3">
        <f>E145*Assumptions!B5/12</f>
        <v/>
      </c>
      <c r="P145" s="3">
        <f>Assumptions!B6</f>
        <v/>
      </c>
      <c r="Q145" s="3">
        <f>Assumptions!B7+Assumptions!B8</f>
        <v/>
      </c>
      <c r="R145" s="3">
        <f>N145+F145+O145+P145+Q145</f>
        <v/>
      </c>
      <c r="S145" s="3" t="n">
        <v>0</v>
      </c>
      <c r="T145" s="3">
        <f>R145-S145*MAX(IFERROR(G145-1,0),0)</f>
        <v/>
      </c>
      <c r="X145" s="8">
        <f>(IF(E145="",2,IF(E145&lt;=400000,3,IF(E145&gt;=500000,1,2))))*0.1+(IF(OR(G145="",G145=0),2,IF((E145/G145)&lt;=200000,3,IF((E145/G145)&gt;=300000,1,2))))*0.1+(IF(F145="",2,IF(F145&lt;=200,3,IF(F145&gt;=400,1,2))))*0.1+(IF(T145="",2,IF(T145&lt;=2000,3,IF(T145&gt;=3000,1,2))))*0.2+(IF(V145="",2,IF(V145&lt;=15,3,IF(V145&gt;=30,1,2))))*0.15+(IF(W145="",2,IF(W145&lt;=15,3,IF(W145&gt;=25,1,2))))*0.1+(IF(U145="",2,IF(U145&lt;=5,3,IF(U145&gt;=15,1,2))))*0.1+(IF(J145="Yes",3,IF(J145="No",1,2)))*0.05+(IF(OR(K145="",UPPER(TRIM(K145))="UNKNOWN"),2,IF(OR(UPPER(TRIM(K145))="NONE",ISNUMBER(SEARCH("no parking",K145))),1,3)))*0.05+(IF(AND(ISNUMBER(I145),I145&gt;=900),3,IF(AND(ISNUMBER(G145),G145&gt;=2),3,IF(AND(ISNUMBER(I145),I145&gt;=700),2,IF(AND(ISNUMBER(I145),I145&lt;700),1,2)))))*0.05</f>
        <v/>
      </c>
      <c r="Y145">
        <f>IF(X145&gt;=2.3,"Green",IF(X145&gt;=1.7,"Yellow","Red"))</f>
        <v/>
      </c>
    </row>
    <row r="146">
      <c r="A146" s="10" t="inlineStr">
        <is>
          <t>993 Massachusetts Ave #203, Arlington, MA 02476</t>
        </is>
      </c>
      <c r="B146" t="inlineStr">
        <is>
          <t>Arlington</t>
        </is>
      </c>
      <c r="C146" s="6" t="inlineStr">
        <is>
          <t>https://www.redfin.com/MA/Arlington/993-Massachusetts-Ave-02476/unit-203/home/11774605</t>
        </is>
      </c>
      <c r="D146" s="7" t="inlineStr">
        <is>
          <t>2026-04-15</t>
        </is>
      </c>
      <c r="E146" s="3" t="n">
        <v>408000</v>
      </c>
      <c r="F146" s="3" t="n">
        <v>465</v>
      </c>
      <c r="G146" t="n">
        <v>1</v>
      </c>
      <c r="H146" t="n">
        <v>1.5</v>
      </c>
      <c r="I146" s="4" t="n">
        <v>589</v>
      </c>
      <c r="J146" t="inlineStr">
        <is>
          <t>No</t>
        </is>
      </c>
      <c r="K146" t="inlineStr">
        <is>
          <t>2 spaces</t>
        </is>
      </c>
      <c r="L146" s="3">
        <f>Assumptions!B3</f>
        <v/>
      </c>
      <c r="M146" s="3">
        <f>E146-L146</f>
        <v/>
      </c>
      <c r="N146" s="3">
        <f>-PMT(Assumptions!B2/12,Assumptions!B4*12,M146)</f>
        <v/>
      </c>
      <c r="O146" s="3">
        <f>E146*Assumptions!B5/12</f>
        <v/>
      </c>
      <c r="P146" s="3">
        <f>Assumptions!B6</f>
        <v/>
      </c>
      <c r="Q146" s="3">
        <f>Assumptions!B7+Assumptions!B8</f>
        <v/>
      </c>
      <c r="R146" s="3">
        <f>N146+F146+O146+P146+Q146</f>
        <v/>
      </c>
      <c r="S146" s="3" t="n">
        <v>0</v>
      </c>
      <c r="T146" s="3">
        <f>R146-S146*MAX(IFERROR(G146-1,0),0)</f>
        <v/>
      </c>
      <c r="U146" t="n">
        <v>6.8</v>
      </c>
      <c r="V146" t="n">
        <v>18.6</v>
      </c>
      <c r="W146" t="n">
        <v>17.2</v>
      </c>
      <c r="X146" s="8">
        <f>(IF(E146="",2,IF(E146&lt;=400000,3,IF(E146&gt;=500000,1,2))))*0.1+(IF(OR(G146="",G146=0),2,IF((E146/G146)&lt;=200000,3,IF((E146/G146)&gt;=300000,1,2))))*0.1+(IF(F146="",2,IF(F146&lt;=200,3,IF(F146&gt;=400,1,2))))*0.1+(IF(T146="",2,IF(T146&lt;=2000,3,IF(T146&gt;=3000,1,2))))*0.2+(IF(V146="",2,IF(V146&lt;=15,3,IF(V146&gt;=30,1,2))))*0.15+(IF(W146="",2,IF(W146&lt;=15,3,IF(W146&gt;=25,1,2))))*0.1+(IF(U146="",2,IF(U146&lt;=5,3,IF(U146&gt;=15,1,2))))*0.1+(IF(J146="Yes",3,IF(J146="No",1,2)))*0.05+(IF(OR(K146="",UPPER(TRIM(K146))="UNKNOWN"),2,IF(OR(UPPER(TRIM(K146))="NONE",ISNUMBER(SEARCH("no parking",K146))),1,3)))*0.05+(IF(AND(ISNUMBER(I146),I146&gt;=900),3,IF(AND(ISNUMBER(G146),G146&gt;=2),3,IF(AND(ISNUMBER(I146),I146&gt;=700),2,IF(AND(ISNUMBER(I146),I146&lt;700),1,2)))))*0.05</f>
        <v/>
      </c>
      <c r="Y146">
        <f>IF(X146&gt;=2.3,"Green",IF(X146&gt;=1.7,"Yellow","Red"))</f>
        <v/>
      </c>
    </row>
  </sheetData>
  <conditionalFormatting sqref="Y2:Y146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2026-05-12T23:00:04Z</dcterms:created>
  <dcterms:modified xmlns:dcterms="http://purl.org/dc/terms/" xmlns:xsi="http://www.w3.org/2001/XMLSchema-instance" xsi:type="dcterms:W3CDTF">2026-05-12T23:00:04Z</dcterms:modified>
</cp:coreProperties>
</file>